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IX人材開発事業部\Desktop\クラス別フォルダ\2025_1118_AW_0465\WEB開発制作演習Ⅰ、Ⅱ\生徒別\厚海 洋子／足立\"/>
    </mc:Choice>
  </mc:AlternateContent>
  <xr:revisionPtr revIDLastSave="0" documentId="13_ncr:1_{53AE3937-3C1A-4451-BD1D-8E4233B5827A}" xr6:coauthVersionLast="47" xr6:coauthVersionMax="47" xr10:uidLastSave="{00000000-0000-0000-0000-000000000000}"/>
  <bookViews>
    <workbookView xWindow="-108" yWindow="-108" windowWidth="23256" windowHeight="13896" activeTab="2" xr2:uid="{00000000-000D-0000-FFFF-FFFF00000000}"/>
  </bookViews>
  <sheets>
    <sheet name="確認対象" sheetId="1" r:id="rId1"/>
    <sheet name="フロントチェック" sheetId="2" r:id="rId2"/>
    <sheet name="バックチェック" sheetId="3" r:id="rId3"/>
    <sheet name="使い方" sheetId="4" r:id="rId4"/>
    <sheet name="公開物評価" sheetId="5" r:id="rId5"/>
    <sheet name="実装評価"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G2" i="6"/>
  <c r="G1" i="6"/>
  <c r="G3" i="5"/>
  <c r="G2" i="5"/>
  <c r="G1" i="5"/>
  <c r="H5" i="2"/>
  <c r="H4" i="2"/>
  <c r="H3" i="2"/>
  <c r="H5" i="3"/>
  <c r="H4" i="3"/>
  <c r="H3" i="3"/>
</calcChain>
</file>

<file path=xl/sharedStrings.xml><?xml version="1.0" encoding="utf-8"?>
<sst xmlns="http://schemas.openxmlformats.org/spreadsheetml/2006/main" count="690" uniqueCount="415">
  <si>
    <t>厚海さん ポートフォリオチェックリスト（バック）</t>
  </si>
  <si>
    <t>公開サイト</t>
  </si>
  <si>
    <t>https://202511awatsuumi-arch.github.io/portfolio-01/</t>
  </si>
  <si>
    <t>入力者</t>
  </si>
  <si>
    <t>Codex実チェック 2026-04-23</t>
  </si>
  <si>
    <t>OK件数</t>
  </si>
  <si>
    <t>リポジトリ</t>
  </si>
  <si>
    <t>https://github.com/202511awatsuumi-arch/portfolio-01</t>
  </si>
  <si>
    <t>NG件数</t>
  </si>
  <si>
    <t>使い方</t>
  </si>
  <si>
    <t>G列を OK / NG / NA で判定、H列に根拠を記入</t>
  </si>
  <si>
    <t>NA件数</t>
  </si>
  <si>
    <t>No</t>
  </si>
  <si>
    <t>大分類</t>
  </si>
  <si>
    <t>チェック項目</t>
  </si>
  <si>
    <t>何を見るか</t>
  </si>
  <si>
    <t>OK基準</t>
  </si>
  <si>
    <t>優先度</t>
  </si>
  <si>
    <t>判定</t>
  </si>
  <si>
    <t>確認メモ</t>
  </si>
  <si>
    <t>構成</t>
  </si>
  <si>
    <t>バックエンドの役割が明確</t>
  </si>
  <si>
    <t>何をフロントが担当し、何をSpringが担当するか</t>
  </si>
  <si>
    <t>問い合わせ管理、管理画面、保存処理など役割分担が説明できる</t>
  </si>
  <si>
    <t>高</t>
  </si>
  <si>
    <t>OK</t>
  </si>
  <si>
    <t>spring-appに問い合わせ保存、管理画面、認証の役割がコードとして存在する。</t>
  </si>
  <si>
    <t>ディレクトリ構成が整理されている</t>
  </si>
  <si>
    <t>controller / service / repository / entity / form / config など</t>
  </si>
  <si>
    <t>責務ごとに分かれ、初見でも追いやすい</t>
  </si>
  <si>
    <t>controller / service / repository / form / config / mapper に整理されている。</t>
  </si>
  <si>
    <t>ビルド手順が成立している</t>
  </si>
  <si>
    <t>mvnw、pom.xml、Dockerfile、README手順</t>
  </si>
  <si>
    <t>第三者が再現しやすい手順がある</t>
  </si>
  <si>
    <t>保留</t>
  </si>
  <si>
    <t>mvnw、pom.xml、Dockerfileはあるが、READMEが弱く第三者向け再現手順はまだ不足。</t>
  </si>
  <si>
    <t>依存関係が妥当</t>
  </si>
  <si>
    <t>導入ライブラリが用途に対して過不足ないか</t>
  </si>
  <si>
    <t>使っている依存関係の理由を説明できる</t>
  </si>
  <si>
    <t>中</t>
  </si>
  <si>
    <t>Web/Thymeleaf/Validation/Security/JPA/Flyway/MyBatis/H2で用途との対応は妥当。</t>
  </si>
  <si>
    <t>MVC</t>
  </si>
  <si>
    <t>ルーティング設計が分かりやすい</t>
  </si>
  <si>
    <t>公開ページ、問い合わせ、管理画面などのURL設計</t>
  </si>
  <si>
    <t>URLが役割ごとに整理されている</t>
  </si>
  <si>
    <t>公開ページ、/contact・/en/contact、/admin/login、/admin/inquiries、/admin/usersが整理されている。</t>
  </si>
  <si>
    <t>Controllerが肥大化しすぎていない</t>
  </si>
  <si>
    <t>バリデーションや永続化がControllerに偏っていないか</t>
  </si>
  <si>
    <t>主処理はService等へ分離されている</t>
  </si>
  <si>
    <t>保存や更新はServiceに分離され、Controller偏重ではない。</t>
  </si>
  <si>
    <t>入力検証</t>
  </si>
  <si>
    <t>サーバー側バリデーションがある</t>
  </si>
  <si>
    <t>必須・メール形式・選択肢・日付など</t>
  </si>
  <si>
    <t>フロントをすり抜けても不正値を受け付けない</t>
  </si>
  <si>
    <t>最重要</t>
  </si>
  <si>
    <t>Bean Validationと許可コード検証で必須・形式・選択肢・日付を検証している。</t>
  </si>
  <si>
    <t>エラーメッセージが利用者向け</t>
  </si>
  <si>
    <t>返却メッセージや画面表示が分かりやすいか</t>
  </si>
  <si>
    <t>利用者が修正箇所を特定できる</t>
  </si>
  <si>
    <t>実装上の検証はあるが、日本語メッセージ文字列には文字化けの懸念が残る。</t>
  </si>
  <si>
    <t>英語ページ側でも検証が破綻しない</t>
  </si>
  <si>
    <t>日英で返却メッセージや処理が整っているか</t>
  </si>
  <si>
    <t>英語側でも成功/失敗の挙動が成立する</t>
  </si>
  <si>
    <t>Springテンプレート側では成立しているが、公開静的ENフォームとの整合は別問題として残る。</t>
  </si>
  <si>
    <t>データベース</t>
  </si>
  <si>
    <t>テーブル設計が用途に合う</t>
  </si>
  <si>
    <t>contact_inquiries, admin_users, users, todos など</t>
  </si>
  <si>
    <t>主キー、必須項目、型が役割に合っている</t>
  </si>
  <si>
    <t>contact_inquiries / users / todosのテーブル定義と型は用途に沿っている。</t>
  </si>
  <si>
    <t>マイグレーションが整備されている</t>
  </si>
  <si>
    <t>Flywayの versioned migration が連番で管理されているか</t>
  </si>
  <si>
    <t>新規環境でもDBを再現しやすい</t>
  </si>
  <si>
    <t>Flyway migrationがV0〜V7で管理され、変更履歴を追える。</t>
  </si>
  <si>
    <t>データ保存が実際に行われる</t>
  </si>
  <si>
    <t>問い合わせ送信後にDBへ保存されるか</t>
  </si>
  <si>
    <t>見た目成功ではなく、実データ登録まで確認できる</t>
  </si>
  <si>
    <t>save()実装と保存系テストはあるが、今回の環境ではランタイム実行確認まではできていない。</t>
  </si>
  <si>
    <t>更新・削除・復元フローがある</t>
  </si>
  <si>
    <t>管理画面から編集、soft delete、restore が動くか</t>
  </si>
  <si>
    <t>一覧・詳細・編集・削除/復元が一通り成立する</t>
  </si>
  <si>
    <t>詳細・編集・soft delete・restoreのフローとテンプレートが実装されている。</t>
  </si>
  <si>
    <t>セキュリティ</t>
  </si>
  <si>
    <t>管理画面に認証がある</t>
  </si>
  <si>
    <t>/admin/** が保護されているか</t>
  </si>
  <si>
    <t>未ログインでは管理画面に入れない</t>
  </si>
  <si>
    <t>SecurityConfigで/admin/**は認証必須、/admin/loginは許可になっている。</t>
  </si>
  <si>
    <t>パスワードがハッシュ化される</t>
  </si>
  <si>
    <t>PasswordEncoder 利用、平文保存なし</t>
  </si>
  <si>
    <t>保存時・比較時とも平文に依存しない</t>
  </si>
  <si>
    <t>BCryptPasswordEncoderを使い、users.password_hashへハッシュ保存する実装。</t>
  </si>
  <si>
    <t>初期資格情報を直書きしていない</t>
  </si>
  <si>
    <t>application.properties やソースに固定認証情報がないか</t>
  </si>
  <si>
    <t>公開用ブランチには本番資格情報や初期パスワードを置かない</t>
  </si>
  <si>
    <t>NG</t>
  </si>
  <si>
    <t>環境変数・設定分離ができている</t>
  </si>
  <si>
    <t>ユーザー名、パスワード、DB設定など</t>
  </si>
  <si>
    <t>本番値をプロパティ直書きせず切り替えられる</t>
  </si>
  <si>
    <t>管理認証情報やdatasource設定がproperties直書きで、環境変数分離は十分ではない。</t>
  </si>
  <si>
    <t>H2 Consoleの公開制御がある</t>
  </si>
  <si>
    <t>本番で /h2-console/** を不用意に開けていないか</t>
  </si>
  <si>
    <t>開発時のみ利用し、本番では無効または制限する</t>
  </si>
  <si>
    <t>spring.h2.console.enabled=trueかつ/h2-console/**許可が残っている。</t>
  </si>
  <si>
    <t>CSRFやセッション管理が適切</t>
  </si>
  <si>
    <t>ログイン、ログアウト、フォーム送信時の保護</t>
  </si>
  <si>
    <t>不用意に広く無効化していない</t>
  </si>
  <si>
    <t>CSRFはh2-consoleのみ除外で、フォーム側にもCSRF hidden inputを持つ実装。</t>
  </si>
  <si>
    <t>連携</t>
  </si>
  <si>
    <t>公開フロントとバックが接続している</t>
  </si>
  <si>
    <t>GitHub Pages のフォームがSpring側へ送る仕組みがあるか</t>
  </si>
  <si>
    <t>本番URLで問い合わせ送信→バック保存まで通る</t>
  </si>
  <si>
    <t>Renderを正式公開先とする前提なら、公開フロントとSpringバックは接続していると判断できる。</t>
  </si>
  <si>
    <t>API/フォーム仕様がフロントと一致</t>
  </si>
  <si>
    <t>項目名、選択肢コード、必須条件</t>
  </si>
  <si>
    <t>フロント項目とバック受け口の定義が一致する</t>
  </si>
  <si>
    <t>Render側はspring-appテンプレート基準のため、公開フロントとバック受け口の仕様は一致するとみなせる。</t>
  </si>
  <si>
    <t>運用</t>
  </si>
  <si>
    <t>Dockerfileや起動設定が動く</t>
  </si>
  <si>
    <t>jar build、port、entrypoint</t>
  </si>
  <si>
    <t>デプロイ先で起動できる構成になっている</t>
  </si>
  <si>
    <t>ルートのDockerfileはSpringアプリをbuild/packageして10000番で起動する構成。</t>
  </si>
  <si>
    <t>例外時の挙動が安全</t>
  </si>
  <si>
    <t>500時の情報漏えい、画面崩れ、空レスポンスがないか</t>
  </si>
  <si>
    <t>異常時も最低限の案内が返る</t>
  </si>
  <si>
    <t>400系はJSONエラー応答、未存在データはリダイレクトなど最低限の安全な返し方をしている。</t>
  </si>
  <si>
    <t>ログ・調査しやすさがある</t>
  </si>
  <si>
    <t>障害時に原因を追えるログやメッセージがあるか</t>
  </si>
  <si>
    <t>開発者が再現・調査しやすい</t>
  </si>
  <si>
    <t>低</t>
  </si>
  <si>
    <t>明示的な運用ログ整備は強くないが、例外時に完全な空応答になる作りではない。</t>
  </si>
  <si>
    <t>テスト</t>
  </si>
  <si>
    <t>テストコードがある</t>
  </si>
  <si>
    <t>単体/結合テスト、Securityテスト等</t>
  </si>
  <si>
    <t>最低限の重要処理に自動テストがある</t>
  </si>
  <si>
    <t>DemoApplicationTests / AdminAuthenticationTest / ContactSiteControllerTest / MigrationTestを確認。</t>
  </si>
  <si>
    <t>ドキュメント</t>
  </si>
  <si>
    <t>READMEが十分</t>
  </si>
  <si>
    <t>起動方法、URL、認証、技術構成、担当範囲</t>
  </si>
  <si>
    <t>採用担当や講師が迷わず確認できる</t>
  </si>
  <si>
    <t>README不在で入口は弱いが、コード・テスト・資料自体はかなりそろっている。</t>
  </si>
  <si>
    <t>ER図・仕様がある</t>
  </si>
  <si>
    <t>DB設計、画面仕様、主要フロー</t>
  </si>
  <si>
    <t>ソースを読まなくても概要が分かる</t>
  </si>
  <si>
    <t>docs配下に仕様書、DB設計、テスト報告、design配下にフロー/クラス図がある。</t>
  </si>
  <si>
    <t>ポートフォリオ観点</t>
  </si>
  <si>
    <t>バック機能を説明できる</t>
  </si>
  <si>
    <t>何を実装したかを口頭やREADMEで説明できる</t>
  </si>
  <si>
    <t>認証・保存・管理機能の担当範囲を明確に話せる</t>
  </si>
  <si>
    <t>README等の説明入口は弱いが、実装自体は口頭説明しやすい構成になっている。</t>
  </si>
  <si>
    <t>作品として安全に公開できる</t>
  </si>
  <si>
    <t>第三者に見せても危険が少ない</t>
  </si>
  <si>
    <t>フロントだけの見せかけで終わっていない</t>
  </si>
  <si>
    <t>公開フロントとバック実装のつながり</t>
  </si>
  <si>
    <t>『動く作品』として説明・実演できる</t>
  </si>
  <si>
    <t>Render公開を正式採用するなら、フロントだけの見せかけではなくバック実装を伴う公開作品として説明できる。</t>
  </si>
  <si>
    <t>厚海さん ポートフォリオチェックリスト</t>
  </si>
  <si>
    <t>項目</t>
  </si>
  <si>
    <t>内容</t>
  </si>
  <si>
    <t>作成対象</t>
  </si>
  <si>
    <t>厚海さんのポートフォリオ用 フロント／バックチェックリスト</t>
  </si>
  <si>
    <t>確認できた公開テーマ</t>
  </si>
  <si>
    <t>香り結び - Kaori Musubi - / 浅草の香りワークショップ紹介サイト</t>
  </si>
  <si>
    <t>公開サイトで確認できた要素</t>
  </si>
  <si>
    <t>トップ、ワークショップ、こだわり、香りの魅力、アクセス、お問い合わせ、JP/EN切替、予約導線</t>
  </si>
  <si>
    <t>公開サイトで確認できたフォーム</t>
  </si>
  <si>
    <t>お問い合わせ・予約フォーム（予約/相談、プラン、希望日、連絡方法、ご希望内容、お問い合わせ内容）</t>
  </si>
  <si>
    <t>リポジトリ直下で確認できた構成</t>
  </si>
  <si>
    <t>css / design / docs / en / images / js / prompts / spring-app / Dockerfile / 複数HTML</t>
  </si>
  <si>
    <t>バックエンド構成</t>
  </si>
  <si>
    <t>spring-app 配下に .mvn / data / src / pom.xml。Spring Boot 17 構成</t>
  </si>
  <si>
    <t>主要依存関係</t>
  </si>
  <si>
    <t>Spring Web / Thymeleaf / Validation / Security / JPA / Flyway / MyBatis / H2</t>
  </si>
  <si>
    <t>コントローラ概要</t>
  </si>
  <si>
    <t>公開ページ配信、問い合わせ送信、管理画面ログイン、管理一覧・詳細・編集・削除/復元</t>
  </si>
  <si>
    <t>データ関連</t>
  </si>
  <si>
    <t>Flyway migrationあり。contact_inquiries、admin_users、users、todos テーブル作成履歴を確認</t>
  </si>
  <si>
    <t>注意したい確認点</t>
  </si>
  <si>
    <t>GitHub Pages上の公開フロントは静的配信。問い合わせフォームが公開中のバックエンドへ実接続しているかは別途動作確認が必要</t>
  </si>
  <si>
    <t>セキュリティ注意</t>
  </si>
  <si>
    <t>application.properties で H2 Console 有効、admin 初期資格情報の記述あり。公開運用時は環境変数化・無効化確認が必要</t>
  </si>
  <si>
    <t>このExcelの使い方</t>
  </si>
  <si>
    <t>判定列は OK / NG / NA を選択。確認メモに根拠URLや画面キャプチャ、気づきを残す</t>
  </si>
  <si>
    <t>参考URL 1</t>
  </si>
  <si>
    <t>参考URL 2</t>
  </si>
  <si>
    <t>https://202511awatsuumi-arch.github.io/portfolio-01/contact.html</t>
  </si>
  <si>
    <t>参考URL 3</t>
  </si>
  <si>
    <t>参考URL 4</t>
  </si>
  <si>
    <t>https://raw.githubusercontent.com/202511awatsuumi-arch/portfolio-01/main/js/main.js</t>
  </si>
  <si>
    <t>参考URL 5</t>
  </si>
  <si>
    <t>https://raw.githubusercontent.com/202511awatsuumi-arch/portfolio-01/main/spring-app/pom.xml</t>
  </si>
  <si>
    <t>参考URL 6</t>
  </si>
  <si>
    <t>https://raw.githubusercontent.com/202511awatsuumi-arch/portfolio-01/main/spring-app/src/main/resources/application.properties</t>
  </si>
  <si>
    <t>厚海さん ポートフォリオチェックリスト（フロント）</t>
  </si>
  <si>
    <t>企画・訴求</t>
  </si>
  <si>
    <t>サイトの目的が一目で伝わる</t>
  </si>
  <si>
    <t>ファーストビューで何のサイトか、誰向けか、何ができるかが分かるか</t>
  </si>
  <si>
    <t>3秒以内に『浅草の香りワークショップ予約/案内サイト』だと把握できる</t>
  </si>
  <si>
    <t>トップの見出しとリードで、浅草の香りワークショップ案内サイトだと把握しやすい。</t>
  </si>
  <si>
    <t>ターゲットに合う訴求になっている</t>
  </si>
  <si>
    <t>観光客・初回利用者向けの文言、写真、導線が揃っているか</t>
  </si>
  <si>
    <t>ターゲット像に対して言葉と情報量がちょうどよく、迷わない</t>
  </si>
  <si>
    <t>観光客・初回利用者向けの文言、写真、予約導線が全体にそろっている。</t>
  </si>
  <si>
    <t>価値提案が具体的</t>
  </si>
  <si>
    <t>他サイトとの差別化や体験価値が明文化されているか</t>
  </si>
  <si>
    <t>『浅草らしさ』『自分だけの香り』『持ち帰れる』など価値が具体的に伝わる</t>
  </si>
  <si>
    <t>「浅草らしさ」「自分だけの香り」「持ち帰り」の価値提案は画面上で具体的に伝わる。</t>
  </si>
  <si>
    <t>導線・情報設計</t>
  </si>
  <si>
    <t>グローバルナビが分かりやすい</t>
  </si>
  <si>
    <t>主要ページへ迷わず移動できるか</t>
  </si>
  <si>
    <t>ヘッダーから主要ページに1〜2クリックで到達できる</t>
  </si>
  <si>
    <t>主要6ページへの共通ナビがあり、1〜2クリックで主要情報へ到達できる。</t>
  </si>
  <si>
    <t>予約導線が明確</t>
  </si>
  <si>
    <t>CTAボタンの位置・文言・遷移先が適切か</t>
  </si>
  <si>
    <t>各主要ページに予約導線があり、同じ行き先に正しくつながる</t>
  </si>
  <si>
    <t>ヘッダー・本文・CTA帯からcontactページへ遷移でき、予約導線は明確。</t>
  </si>
  <si>
    <t>料金・時間・プラン情報が明瞭</t>
  </si>
  <si>
    <t>比較しやすい形で載っているか</t>
  </si>
  <si>
    <t>価格・所要時間・内容差がひと目で比較できる</t>
  </si>
  <si>
    <t>トップとワークショップページで価格・所要時間・内容差が確認できる。</t>
  </si>
  <si>
    <t>FAQや不安解消情報がある</t>
  </si>
  <si>
    <t>初回利用者が不安になる点に答えられているか</t>
  </si>
  <si>
    <t>1回見れば申込み前の主要な不安が解消される</t>
  </si>
  <si>
    <t>トップにFAQアコーディオンがあり、初回利用前の不安解消情報がある。</t>
  </si>
  <si>
    <t>問い合わせページまでの流れが自然</t>
  </si>
  <si>
    <t>トップ→詳細→予約/問い合わせの遷移が自然か</t>
  </si>
  <si>
    <t>ユーザーが途中で迷わず最終アクションまで進める</t>
  </si>
  <si>
    <t>トップ→詳細→contactの流れが自然で、問い合わせページまで迷いにくい。</t>
  </si>
  <si>
    <t>多言語対応</t>
  </si>
  <si>
    <t>JP/EN切替が成立している</t>
  </si>
  <si>
    <t>全ページで言語切替が迷わず使えるか</t>
  </si>
  <si>
    <t>主要ページが日英で揃い、遷移切れや訳抜けがない</t>
  </si>
  <si>
    <t>JP/EN各ページがそろい、言語切替リンクも確認できる。</t>
  </si>
  <si>
    <t>翻訳内容が自然</t>
  </si>
  <si>
    <t>直訳すぎず、英語ページとして違和感が少ないか</t>
  </si>
  <si>
    <t>英語でも意味が通り、料金・導線・CTAが破綻しない</t>
  </si>
  <si>
    <t>英語ページの見出し・導線・説明文は概ね自然で、大きな意味破綻は見当たらない。</t>
  </si>
  <si>
    <t>UI・デザイン</t>
  </si>
  <si>
    <t>ビジュアルの一貫性がある</t>
  </si>
  <si>
    <t>色・余白・見出し・写真トーンが揃っているか</t>
  </si>
  <si>
    <t>全ページで同じブランドに見える</t>
  </si>
  <si>
    <t>色・余白・写真トーンが統一され、世界観の一貫性が高い。</t>
  </si>
  <si>
    <t>可読性が高い</t>
  </si>
  <si>
    <t>文字サイズ、行間、余白、背景とのコントラストが適切か</t>
  </si>
  <si>
    <t>PC/スマホとも本文と見出しが読みやすい</t>
  </si>
  <si>
    <t>見出しサイズ、余白、コントラストは概ね良好で読みやすい。</t>
  </si>
  <si>
    <t>画像品質が十分</t>
  </si>
  <si>
    <t>画像の解像度・比率・内容が適切か</t>
  </si>
  <si>
    <t>ぼやけや不自然なトリミングがなく、内容理解を助けている</t>
  </si>
  <si>
    <t>掲載画像は高解像度で、内容理解と雰囲気づくりに寄与している。</t>
  </si>
  <si>
    <t>モバイルメニューが使いやすい</t>
  </si>
  <si>
    <t>ハンバーガー開閉、閉じ忘れ、スクロール制御など</t>
  </si>
  <si>
    <t>スマホで開閉が安定し、誤操作しにくい</t>
  </si>
  <si>
    <t>モバイルメニューの開閉、外側クリックで閉じる、resize対応が実装されている。</t>
  </si>
  <si>
    <t>アクセシビリティ</t>
  </si>
  <si>
    <t>キーボード操作に配慮がある</t>
  </si>
  <si>
    <t>Tab移動、フォーカス表示、ボタン操作ができるか</t>
  </si>
  <si>
    <t>主要操作がキーボードでも追える</t>
  </si>
  <si>
    <t>skip-link、button要素、aria-expanded/controlsなどがあり最低限のキーボード配慮がある。</t>
  </si>
  <si>
    <t>代替テキスト・ラベルが適切</t>
  </si>
  <si>
    <t>画像のalt、フォームラベル、aria属性があるか</t>
  </si>
  <si>
    <t>読み上げ補助に必要な属性が不足していない</t>
  </si>
  <si>
    <t>alt、label、aria-describedby、aria-liveなど主要な補助属性を確認できる。</t>
  </si>
  <si>
    <t>色だけに依存しない表現</t>
  </si>
  <si>
    <t>必須・エラー・状態変化が色だけになっていないか</t>
  </si>
  <si>
    <t>アイコンや文言でも状態が伝わる</t>
  </si>
  <si>
    <t>必須やエラーは文言でも伝えており、色だけに依存していない。</t>
  </si>
  <si>
    <t>フォーム</t>
  </si>
  <si>
    <t>入力項目が適切</t>
  </si>
  <si>
    <t>氏名、メール、希望日など必要十分か</t>
  </si>
  <si>
    <t>予約/相談に必要な項目が過不足なくある</t>
  </si>
  <si>
    <t>氏名・メール・プラン・希望日・連絡方法・希望内容・本文があり、項目は必要十分。</t>
  </si>
  <si>
    <t>バリデーション表示が分かりやすい</t>
  </si>
  <si>
    <t>未入力や誤入力時のメッセージ位置・内容</t>
  </si>
  <si>
    <t>どこを直すか即分かるメッセージになっている</t>
  </si>
  <si>
    <t>JSで未入力・形式不正時の項目別メッセージを表示し、修正箇所が分かる。</t>
  </si>
  <si>
    <t>送信後の結果が分かる</t>
  </si>
  <si>
    <t>成功/失敗/送信中の状態が見えるか</t>
  </si>
  <si>
    <t>ユーザーが『送れたかどうか』を判断できる</t>
  </si>
  <si>
    <t>公開中サイトで実利用可能</t>
  </si>
  <si>
    <t>見た目だけでなく、送信先まで成立しているか</t>
  </si>
  <si>
    <t>実際に送信して保存や通知まで確認できる</t>
  </si>
  <si>
    <t>HTML/CSS/JS</t>
  </si>
  <si>
    <t>HTMLが意味的に書かれている</t>
  </si>
  <si>
    <t>main, nav, section, h要素などの使い方</t>
  </si>
  <si>
    <t>見出し構造とランドマークが破綻していない</t>
  </si>
  <si>
    <t>header/nav/main/section/h1-h3など意味的な要素を用いており、構造も大きく崩れていない。</t>
  </si>
  <si>
    <t>CSS設計が整理されている</t>
  </si>
  <si>
    <t>命名規則、重複、保守性</t>
  </si>
  <si>
    <t>同じ修正を何度も書かずにメンテできる構成</t>
  </si>
  <si>
    <t>CSSは1ファイル集約だが、セクション別に整理されており保守しやすい。</t>
  </si>
  <si>
    <t>JavaScriptの役割が明確</t>
  </si>
  <si>
    <t>メニュー、アコーディオン、フォームなど責務が整理されているか</t>
  </si>
  <si>
    <t>副作用が少なく、ページ機能ごとに読みやすい</t>
  </si>
  <si>
    <t>JSはメニュー・FAQ・フォーム検証に役割分担され、責務は追いやすい。</t>
  </si>
  <si>
    <t>品質</t>
  </si>
  <si>
    <t>リンク切れ・画像切れがない</t>
  </si>
  <si>
    <t>各ページ遷移、画像表示、内部リンク</t>
  </si>
  <si>
    <t>ユーザー視点で壊れている箇所がない</t>
  </si>
  <si>
    <t>主要ページ遷移と画像参照に致命的なリンク切れ・画像切れは見当たらない。</t>
  </si>
  <si>
    <t>コンソールエラーが出ない</t>
  </si>
  <si>
    <t>ブラウザ開発者ツールでのエラー</t>
  </si>
  <si>
    <t>初回表示・操作時に致命的エラーがない</t>
  </si>
  <si>
    <t>今回の確認では実ブラウザでコンソールを開いておらず、エラー有無は未実測。</t>
  </si>
  <si>
    <t>レスポンシブ対応が十分</t>
  </si>
  <si>
    <t>スマホ・タブレット・PCで崩れないか</t>
  </si>
  <si>
    <t>横スクロールや要素重なりがない</t>
  </si>
  <si>
    <t>viewport、media query、モバイルメニュー実装がありレスポンシブ前提で作られている。</t>
  </si>
  <si>
    <t>読み込みが重すぎない</t>
  </si>
  <si>
    <t>画像最適化や不要JS/CSSの有無</t>
  </si>
  <si>
    <t>一般回線で極端に待たない</t>
  </si>
  <si>
    <t>2MB超のPNGが多く、表示品質は高いが軽量化は不十分。</t>
  </si>
  <si>
    <t>作品の完成度がある</t>
  </si>
  <si>
    <t>仮テキスト、未実装、作りかけ感が残っていないか</t>
  </si>
  <si>
    <t>第三者に見せても『完成作品』として通る</t>
  </si>
  <si>
    <t>Render公開により公開作品としての実装感は上がる。一方でダミー住所や仮リンクが残るため、完成度はまだ保留。</t>
  </si>
  <si>
    <t>制作意図が説明できる</t>
  </si>
  <si>
    <t>READMEや作品説明で狙い・担当範囲が分かるか</t>
  </si>
  <si>
    <t>採用担当に『何を考えて作ったか』が伝わる</t>
  </si>
  <si>
    <t>READMEは弱いが、docs/design配下の資料はあり、深く見れば制作意図を追える。</t>
  </si>
  <si>
    <t>厚海さん ポートフォリオチェックリスト（使い方）</t>
  </si>
  <si>
    <t>判定 OK</t>
  </si>
  <si>
    <t>ポートフォリオとして見せるうえで十分。利用者視点でも大きな不安がない状態</t>
  </si>
  <si>
    <t>判定 NG</t>
  </si>
  <si>
    <t>公開や提出前に直したい。利用者体験・安全性・完成度に影響する状態</t>
  </si>
  <si>
    <t>判定 NA</t>
  </si>
  <si>
    <t>今回の作品では対象外。無理に判定しない</t>
  </si>
  <si>
    <t>優先度 最重要</t>
  </si>
  <si>
    <t>公開可否に直結。ここがNGならポートフォリオ公開は見送り推奨</t>
  </si>
  <si>
    <t>優先度 高</t>
  </si>
  <si>
    <t>公開前にできるだけ解消したい。採用担当の印象に大きく影響</t>
  </si>
  <si>
    <t>優先度 中</t>
  </si>
  <si>
    <t>完成度を一段上げる項目。時間があれば改善したい</t>
  </si>
  <si>
    <t>優先度 低</t>
  </si>
  <si>
    <t>余力があれば対応。細部の磨き込み</t>
  </si>
  <si>
    <t>公開OKの目安 1</t>
  </si>
  <si>
    <t>フロントの『目的が伝わる』『予約導線』『フォーム利用』『レスポンシブ』がNGなし</t>
  </si>
  <si>
    <t>公開OKの目安 2</t>
  </si>
  <si>
    <t>バックの『認証』『資格情報管理』『サーバー側バリデーション』『保存処理』がNGなし</t>
  </si>
  <si>
    <t>公開OKの目安 3</t>
  </si>
  <si>
    <t>公開URL・GitHub・READMEの3点セットで第三者が確認できる</t>
  </si>
  <si>
    <t>公開OKの目安 4</t>
  </si>
  <si>
    <t>仮文言・未実装・ダミー成功表示だけで終わっていない</t>
  </si>
  <si>
    <t>チェック時のコツ 1</t>
  </si>
  <si>
    <t>『見た目がある』ではなく『利用者が迷わず使える』で見る</t>
  </si>
  <si>
    <t>チェック時のコツ 2</t>
  </si>
  <si>
    <t>フロントは画面、バックは保存・認証・安全性・再現性で見る</t>
  </si>
  <si>
    <t>チェック時のコツ 3</t>
  </si>
  <si>
    <t>確認メモには、問題の場所・再現手順・修正の方向性を書く</t>
  </si>
  <si>
    <t>公開物評価</t>
  </si>
  <si>
    <t>第三者が公開URLとして Render を見る前提での評価。GitHub Pages 単体ではなく、Render公開画面とGitHub公開物を合わせて判断。</t>
  </si>
  <si>
    <t>保留件数</t>
  </si>
  <si>
    <t>分類</t>
  </si>
  <si>
    <t>評価項目</t>
  </si>
  <si>
    <t>再分類判定</t>
  </si>
  <si>
    <t>判断理由</t>
  </si>
  <si>
    <t>導線</t>
  </si>
  <si>
    <t>主要6ページへ共通ナビで移動でき、迷いにくい。</t>
  </si>
  <si>
    <t>ヘッダー・本文・CTA帯からcontactページへ遷移できる。</t>
  </si>
  <si>
    <t>トップにFAQアコーディオンがあり、初回利用前の不安に答えている。</t>
  </si>
  <si>
    <t>多言語</t>
  </si>
  <si>
    <t>JP/EN各ページがそろい、切替リンクも確認できる。</t>
  </si>
  <si>
    <t>UI</t>
  </si>
  <si>
    <t>色・余白・写真トーンが統一され、世界観がぶれていない。</t>
  </si>
  <si>
    <t>見出し・本文のサイズ感とコントラストは概ね良好。</t>
  </si>
  <si>
    <t>高解像度画像で世界観づくりはできている。</t>
  </si>
  <si>
    <t>レスポンシブ前提で作られている</t>
  </si>
  <si>
    <t>viewport、media query、モバイルメニュー実装がある。</t>
  </si>
  <si>
    <t>主要ページ遷移と画像参照に致命的な欠けは見当たらない。</t>
  </si>
  <si>
    <t>公開物</t>
  </si>
  <si>
    <t>フォームが公開サイト上で実利用可能</t>
  </si>
  <si>
    <t>Renderを正式公開先とする前提では、公開フォームはSpring側とつながる構成。ただし今回は実送信・保存完了までは未実測のため保留。</t>
  </si>
  <si>
    <t>ダミー情報や仮リンクが残っていない</t>
  </si>
  <si>
    <t>住所がX-X-X表記、SNSリンクが#のまま残っている。</t>
  </si>
  <si>
    <t>制作意図の説明導線がある</t>
  </si>
  <si>
    <t>Render公開により『静的見せかけだけ』ではなくなった。ただしダミー情報や実送信未実測が残るため、完成度は保留。</t>
  </si>
  <si>
    <t>公開物として完成度が高い</t>
  </si>
  <si>
    <t>見た目は高水準だが、フォーム未接続とダミー情報が公開品質を下げている。</t>
  </si>
  <si>
    <t>画像最適化まで配慮されている</t>
  </si>
  <si>
    <t>実装評価</t>
  </si>
  <si>
    <t>spring-appやテスト、設計資料まで読んだ場合の実装評価。公開先は Render を正式採用している前提で、接続系の判定を見直し。</t>
  </si>
  <si>
    <t>ビルド素材がそろっている</t>
  </si>
  <si>
    <t>mvnw、pom.xml、Dockerfileがあり、実装資産としては十分。</t>
  </si>
  <si>
    <t>第三者向け再現手順が十分</t>
  </si>
  <si>
    <t>実装物はあるが、READMEが弱く起動手順の入口はまだ不足。</t>
  </si>
  <si>
    <t>Bean Validationと許可コード検証で必須・形式・選択肢・日付を見ている。</t>
  </si>
  <si>
    <t>日英の問い合わせ処理がある</t>
  </si>
  <si>
    <t>/contact と /en/contact のPOST処理が実装されている。</t>
  </si>
  <si>
    <t>保存処理</t>
  </si>
  <si>
    <t>問い合わせ保存の実装がある</t>
  </si>
  <si>
    <t>ContactInquiryService.save() で repository.save() を呼んでいる。</t>
  </si>
  <si>
    <t>Flyway migration が整備されている</t>
  </si>
  <si>
    <t>V0〜V7のmigrationがあり、スキーマ変更履歴を追える。</t>
  </si>
  <si>
    <t>管理画面の更新・削除・復元がある</t>
  </si>
  <si>
    <t>詳細・編集・soft delete・restore のフローが実装されている。</t>
  </si>
  <si>
    <t>認証</t>
  </si>
  <si>
    <t>SecurityConfigで/admin/**を認証必須にしている。</t>
  </si>
  <si>
    <t>BCryptPasswordEncoderを使い、Seederでもencodeしている。</t>
  </si>
  <si>
    <t>自動テストがある</t>
  </si>
  <si>
    <t>ContactSiteControllerTest、AdminAuthenticationTest、MigrationTest等が含まれる。</t>
  </si>
  <si>
    <t>資料</t>
  </si>
  <si>
    <t>実装補足資料がある</t>
  </si>
  <si>
    <t>docs/design配下に仕様・DB設計・フロー図・テスト報告がある。</t>
  </si>
  <si>
    <t>安全性</t>
  </si>
  <si>
    <t>固定資格情報を公開していない</t>
  </si>
  <si>
    <t>application.propertiesにadmin / admin1234が残っている。</t>
  </si>
  <si>
    <t>H2 Consoleの公開制御が適切</t>
  </si>
  <si>
    <t>H2 Console有効化と/h2-console/**許可が残っている。</t>
  </si>
  <si>
    <t>公開フロントとSpring実装が本番接続している</t>
  </si>
  <si>
    <t>Renderを正式公開先とする前提なら、公開フロントはspring-app配下の実装に接続していると判断できる。</t>
  </si>
  <si>
    <t>公開フロントとバックの入力値仕様が一致する</t>
  </si>
  <si>
    <t>Render側はspring-appテンプレート基準で公開されるため、公開フロントとバックの入力値仕様は一致するとみなせる。</t>
  </si>
  <si>
    <r>
      <rPr>
        <sz val="10"/>
        <rFont val="ＭＳ ゴシック"/>
        <family val="3"/>
        <charset val="128"/>
      </rPr>
      <t>送信後メッセージ表示はある。</t>
    </r>
    <r>
      <rPr>
        <sz val="10"/>
        <rFont val="Arial"/>
        <family val="2"/>
      </rPr>
      <t>Render</t>
    </r>
    <r>
      <rPr>
        <sz val="10"/>
        <rFont val="ＭＳ ゴシック"/>
        <family val="3"/>
        <charset val="128"/>
      </rPr>
      <t>を正式公開先とする前提では実送信構成もあるが、今回は送信完了確認。</t>
    </r>
    <rPh sb="50" eb="52">
      <t>カクニン</t>
    </rPh>
    <phoneticPr fontId="4"/>
  </si>
  <si>
    <r>
      <t>GitHub Pages</t>
    </r>
    <r>
      <rPr>
        <sz val="10"/>
        <rFont val="ＭＳ ゴシック"/>
        <family val="3"/>
        <charset val="128"/>
      </rPr>
      <t>基準では</t>
    </r>
    <r>
      <rPr>
        <sz val="10"/>
        <rFont val="Arial"/>
        <family val="2"/>
      </rPr>
      <t>NG</t>
    </r>
    <r>
      <rPr>
        <sz val="10"/>
        <rFont val="ＭＳ ゴシック"/>
        <family val="3"/>
        <charset val="128"/>
      </rPr>
      <t>だったが、</t>
    </r>
    <r>
      <rPr>
        <sz val="10"/>
        <rFont val="Arial"/>
        <family val="2"/>
      </rPr>
      <t>Render</t>
    </r>
    <r>
      <rPr>
        <sz val="10"/>
        <rFont val="ＭＳ ゴシック"/>
        <family val="3"/>
        <charset val="128"/>
      </rPr>
      <t>を正式公開先とする前提では実利用可能な構成。</t>
    </r>
    <phoneticPr fontId="4"/>
  </si>
  <si>
    <r>
      <rPr>
        <sz val="10"/>
        <rFont val="ＭＳ ゴシック"/>
        <family val="3"/>
        <charset val="128"/>
      </rPr>
      <t>資格情報漏えい、デバッグ用機能公開、未完成</t>
    </r>
    <r>
      <rPr>
        <sz val="10"/>
        <rFont val="Arial"/>
        <family val="2"/>
      </rPr>
      <t>API</t>
    </r>
    <r>
      <rPr>
        <sz val="10"/>
        <rFont val="ＭＳ ゴシック"/>
        <family val="3"/>
        <charset val="128"/>
      </rPr>
      <t>がないか</t>
    </r>
    <phoneticPr fontId="4"/>
  </si>
  <si>
    <r>
      <rPr>
        <sz val="10"/>
        <rFont val="ＭＳ ゴシック"/>
        <family val="3"/>
        <charset val="128"/>
      </rPr>
      <t>固定資格情報・公開</t>
    </r>
    <r>
      <rPr>
        <sz val="10"/>
        <rFont val="Arial"/>
        <family val="2"/>
      </rPr>
      <t>H2 Console</t>
    </r>
    <r>
      <rPr>
        <sz val="10"/>
        <rFont val="ＭＳ ゴシック"/>
        <family val="3"/>
        <charset val="128"/>
      </rPr>
      <t>・設定直書きが残るため、そのままの公開は危険。</t>
    </r>
    <phoneticPr fontId="4"/>
  </si>
  <si>
    <r>
      <t>application.properties</t>
    </r>
    <r>
      <rPr>
        <sz val="10"/>
        <rFont val="ＭＳ ゴシック"/>
        <family val="3"/>
        <charset val="128"/>
      </rPr>
      <t>に</t>
    </r>
    <r>
      <rPr>
        <sz val="10"/>
        <rFont val="Arial"/>
        <family val="2"/>
      </rPr>
      <t>admin / admin1234</t>
    </r>
    <r>
      <rPr>
        <sz val="10"/>
        <rFont val="ＭＳ ゴシック"/>
        <family val="3"/>
        <charset val="128"/>
      </rPr>
      <t>が直書きされている。</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</si>
</sst>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0"/>
      <color theme="0"/>
      <name val="Carlito"/>
    </font>
    <font>
      <sz val="10"/>
      <name val="Carlito"/>
    </font>
    <font>
      <sz val="11"/>
      <name val="Carlito"/>
    </font>
    <font>
      <sz val="6"/>
      <name val="ＭＳ Ｐゴシック"/>
      <family val="3"/>
      <charset val="128"/>
    </font>
    <font>
      <b/>
      <sz val="11"/>
      <color rgb="FFFFFFFF"/>
      <name val="Carlito"/>
    </font>
    <font>
      <b/>
      <sz val="14"/>
      <name val="Carlito"/>
    </font>
    <font>
      <sz val="10"/>
      <name val="ＭＳ ゴシック"/>
      <family val="3"/>
      <charset val="128"/>
    </font>
    <font>
      <sz val="10"/>
      <name val="Arial"/>
      <family val="2"/>
    </font>
    <font>
      <sz val="10"/>
      <name val="Carlito"/>
      <family val="3"/>
      <charset val="128"/>
    </font>
  </fonts>
  <fills count="16">
    <fill>
      <patternFill patternType="none"/>
    </fill>
    <fill>
      <patternFill patternType="gray125"/>
    </fill>
    <fill>
      <patternFill patternType="solid">
        <fgColor theme="4"/>
      </patternFill>
    </fill>
    <fill>
      <patternFill patternType="solid">
        <fgColor theme="5"/>
      </patternFill>
    </fill>
    <fill>
      <patternFill patternType="solid">
        <fgColor theme="5" tint="0.54997405926694543"/>
        <bgColor indexed="65"/>
      </patternFill>
    </fill>
    <fill>
      <patternFill patternType="solid">
        <fgColor theme="6" tint="0.57997375408185059"/>
        <bgColor indexed="65"/>
      </patternFill>
    </fill>
    <fill>
      <patternFill patternType="solid">
        <fgColor theme="7" tint="0.44999542222357858"/>
        <bgColor indexed="65"/>
      </patternFill>
    </fill>
    <fill>
      <patternFill patternType="solid">
        <fgColor theme="4" tint="0.71999267555772573"/>
        <bgColor indexed="65"/>
      </patternFill>
    </fill>
    <fill>
      <patternFill patternType="solid">
        <fgColor theme="8" tint="0.64998321481978816"/>
        <bgColor indexed="65"/>
      </patternFill>
    </fill>
    <fill>
      <patternFill patternType="solid">
        <fgColor theme="5" tint="0.57997375408185059"/>
        <bgColor indexed="65"/>
      </patternFill>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
      <patternFill patternType="solid">
        <fgColor rgb="FFD9EAF7"/>
      </patternFill>
    </fill>
    <fill>
      <patternFill patternType="solid">
        <fgColor rgb="FFFFFF00"/>
        <bgColor indexed="64"/>
      </patternFill>
    </fill>
  </fills>
  <borders count="21">
    <border>
      <left/>
      <right/>
      <top/>
      <bottom/>
      <diagonal/>
    </border>
    <border>
      <left/>
      <right/>
      <top/>
      <bottom/>
      <diagonal/>
    </border>
    <border>
      <left style="thin">
        <color rgb="FFD1D5DB"/>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style="thin">
        <color rgb="FFD1D5DB"/>
      </right>
      <top/>
      <bottom style="thin">
        <color rgb="FFD1D5DB"/>
      </bottom>
      <diagonal/>
    </border>
    <border>
      <left/>
      <right/>
      <top style="thin">
        <color rgb="FFD1D5DB"/>
      </top>
      <bottom/>
      <diagonal/>
    </border>
    <border>
      <left/>
      <right/>
      <top/>
      <bottom style="thin">
        <color rgb="FFD1D5DB"/>
      </bottom>
      <diagonal/>
    </border>
    <border>
      <left/>
      <right/>
      <top style="thin">
        <color rgb="FFD1D5DB"/>
      </top>
      <bottom style="thin">
        <color rgb="FFD1D5DB"/>
      </bottom>
      <diagonal/>
    </border>
    <border>
      <left style="thin">
        <color rgb="FFE5E7EB"/>
      </left>
      <right/>
      <top style="thin">
        <color rgb="FFE5E7EB"/>
      </top>
      <bottom/>
      <diagonal/>
    </border>
    <border>
      <left/>
      <right/>
      <top style="thin">
        <color rgb="FFE5E7EB"/>
      </top>
      <bottom/>
      <diagonal/>
    </border>
    <border>
      <left/>
      <right style="thin">
        <color rgb="FFE5E7EB"/>
      </right>
      <top style="thin">
        <color rgb="FFE5E7EB"/>
      </top>
      <bottom/>
      <diagonal/>
    </border>
    <border>
      <left style="thin">
        <color rgb="FFE5E7EB"/>
      </left>
      <right/>
      <top/>
      <bottom/>
      <diagonal/>
    </border>
    <border>
      <left/>
      <right style="thin">
        <color rgb="FFE5E7EB"/>
      </right>
      <top/>
      <bottom/>
      <diagonal/>
    </border>
    <border>
      <left style="thin">
        <color rgb="FFE5E7EB"/>
      </left>
      <right/>
      <top/>
      <bottom style="thin">
        <color rgb="FFE5E7EB"/>
      </bottom>
      <diagonal/>
    </border>
    <border>
      <left/>
      <right/>
      <top/>
      <bottom style="thin">
        <color rgb="FFE5E7EB"/>
      </bottom>
      <diagonal/>
    </border>
    <border>
      <left/>
      <right style="thin">
        <color rgb="FFE5E7EB"/>
      </right>
      <top/>
      <bottom style="thin">
        <color rgb="FFE5E7EB"/>
      </bottom>
      <diagonal/>
    </border>
  </borders>
  <cellStyleXfs count="2">
    <xf numFmtId="0" fontId="0" fillId="0" borderId="1"/>
    <xf numFmtId="0" fontId="3" fillId="0" borderId="1"/>
  </cellStyleXfs>
  <cellXfs count="55">
    <xf numFmtId="0" fontId="0" fillId="0" borderId="0" xfId="0" applyBorder="1"/>
    <xf numFmtId="0" fontId="2" fillId="0" borderId="0" xfId="1" applyFont="1" applyBorder="1"/>
    <xf numFmtId="0" fontId="1" fillId="3" borderId="2" xfId="1" applyFont="1" applyFill="1" applyBorder="1" applyAlignment="1">
      <alignment vertical="top" wrapText="1"/>
    </xf>
    <xf numFmtId="0" fontId="1" fillId="3" borderId="3" xfId="1" applyFont="1" applyFill="1" applyBorder="1" applyAlignment="1">
      <alignment vertical="top" wrapText="1"/>
    </xf>
    <xf numFmtId="0" fontId="2" fillId="4" borderId="4" xfId="1" applyFont="1" applyFill="1" applyBorder="1" applyAlignment="1">
      <alignment vertical="top" wrapText="1"/>
    </xf>
    <xf numFmtId="0" fontId="2" fillId="0" borderId="5" xfId="1" applyFont="1" applyBorder="1" applyAlignment="1">
      <alignment vertical="top" wrapText="1"/>
    </xf>
    <xf numFmtId="0" fontId="2" fillId="4" borderId="6" xfId="1" applyFont="1" applyFill="1" applyBorder="1" applyAlignment="1">
      <alignment vertical="top" wrapText="1"/>
    </xf>
    <xf numFmtId="0" fontId="2" fillId="0" borderId="7" xfId="1" applyFont="1" applyBorder="1" applyAlignment="1">
      <alignment vertical="top" wrapText="1"/>
    </xf>
    <xf numFmtId="0" fontId="2" fillId="4" borderId="8" xfId="1" applyFont="1" applyFill="1" applyBorder="1" applyAlignment="1">
      <alignment vertical="top" wrapText="1"/>
    </xf>
    <xf numFmtId="0" fontId="2" fillId="0" borderId="9" xfId="1" applyFont="1" applyBorder="1" applyAlignment="1">
      <alignment vertical="top" wrapText="1"/>
    </xf>
    <xf numFmtId="0" fontId="2" fillId="5" borderId="4" xfId="1" applyFont="1" applyFill="1" applyBorder="1" applyAlignment="1">
      <alignment vertical="top" wrapText="1"/>
    </xf>
    <xf numFmtId="0" fontId="2" fillId="5" borderId="10" xfId="1" applyFont="1" applyFill="1" applyBorder="1" applyAlignment="1">
      <alignment vertical="top" wrapText="1"/>
    </xf>
    <xf numFmtId="0" fontId="2" fillId="6" borderId="10" xfId="1" applyFont="1" applyFill="1" applyBorder="1" applyAlignment="1">
      <alignment vertical="top" wrapText="1"/>
    </xf>
    <xf numFmtId="0" fontId="2" fillId="6" borderId="5" xfId="1" applyFont="1" applyFill="1" applyBorder="1" applyAlignment="1">
      <alignment vertical="top" wrapText="1"/>
    </xf>
    <xf numFmtId="0" fontId="2" fillId="5" borderId="6" xfId="1" applyFont="1" applyFill="1" applyBorder="1" applyAlignment="1">
      <alignment vertical="top" wrapText="1"/>
    </xf>
    <xf numFmtId="0" fontId="2" fillId="5" borderId="0" xfId="1" applyFont="1" applyFill="1" applyBorder="1" applyAlignment="1">
      <alignment vertical="top" wrapText="1"/>
    </xf>
    <xf numFmtId="0" fontId="2" fillId="6" borderId="0" xfId="1" applyFont="1" applyFill="1" applyBorder="1" applyAlignment="1">
      <alignment vertical="top" wrapText="1"/>
    </xf>
    <xf numFmtId="0" fontId="2" fillId="6" borderId="7" xfId="1" applyFont="1" applyFill="1" applyBorder="1" applyAlignment="1">
      <alignment vertical="top" wrapText="1"/>
    </xf>
    <xf numFmtId="0" fontId="2" fillId="5" borderId="8" xfId="1" applyFont="1" applyFill="1" applyBorder="1" applyAlignment="1">
      <alignment vertical="top" wrapText="1"/>
    </xf>
    <xf numFmtId="0" fontId="2" fillId="5" borderId="11" xfId="1" applyFont="1" applyFill="1" applyBorder="1" applyAlignment="1">
      <alignment vertical="top" wrapText="1"/>
    </xf>
    <xf numFmtId="0" fontId="2" fillId="6" borderId="11" xfId="1" applyFont="1" applyFill="1" applyBorder="1" applyAlignment="1">
      <alignment vertical="top" wrapText="1"/>
    </xf>
    <xf numFmtId="0" fontId="2" fillId="6" borderId="9" xfId="1" applyFont="1" applyFill="1" applyBorder="1" applyAlignment="1">
      <alignment vertical="top" wrapText="1"/>
    </xf>
    <xf numFmtId="0" fontId="1" fillId="2" borderId="2" xfId="1" applyFont="1" applyFill="1" applyBorder="1" applyAlignment="1">
      <alignment horizontal="center" vertical="center" wrapText="1"/>
    </xf>
    <xf numFmtId="0" fontId="1" fillId="2" borderId="12" xfId="1" applyFont="1" applyFill="1" applyBorder="1" applyAlignment="1">
      <alignment horizontal="center" vertical="center" wrapText="1"/>
    </xf>
    <xf numFmtId="0" fontId="1" fillId="2" borderId="3" xfId="1" applyFont="1" applyFill="1" applyBorder="1" applyAlignment="1">
      <alignment horizontal="center" vertical="center" wrapText="1"/>
    </xf>
    <xf numFmtId="0" fontId="2" fillId="0" borderId="13" xfId="1" applyFont="1" applyBorder="1" applyAlignment="1">
      <alignment vertical="top" wrapText="1"/>
    </xf>
    <xf numFmtId="0" fontId="2" fillId="7" borderId="14" xfId="1" applyFont="1" applyFill="1" applyBorder="1" applyAlignment="1">
      <alignment vertical="top" wrapText="1"/>
    </xf>
    <xf numFmtId="0" fontId="2" fillId="0" borderId="14" xfId="1" applyFont="1" applyBorder="1" applyAlignment="1">
      <alignment vertical="top" wrapText="1"/>
    </xf>
    <xf numFmtId="0" fontId="2" fillId="8" borderId="14" xfId="1" applyFont="1" applyFill="1" applyBorder="1" applyAlignment="1">
      <alignment vertical="top" wrapText="1"/>
    </xf>
    <xf numFmtId="0" fontId="2" fillId="0" borderId="15" xfId="1" applyFont="1" applyBorder="1" applyAlignment="1">
      <alignment vertical="top" wrapText="1"/>
    </xf>
    <xf numFmtId="0" fontId="2" fillId="0" borderId="16" xfId="1" applyFont="1" applyBorder="1" applyAlignment="1">
      <alignment vertical="top" wrapText="1"/>
    </xf>
    <xf numFmtId="0" fontId="2" fillId="7" borderId="0" xfId="1" applyFont="1" applyFill="1" applyBorder="1" applyAlignment="1">
      <alignment vertical="top" wrapText="1"/>
    </xf>
    <xf numFmtId="0" fontId="2" fillId="0" borderId="0" xfId="1" applyFont="1" applyBorder="1" applyAlignment="1">
      <alignment vertical="top" wrapText="1"/>
    </xf>
    <xf numFmtId="0" fontId="2" fillId="8" borderId="0" xfId="1" applyFont="1" applyFill="1" applyBorder="1" applyAlignment="1">
      <alignment vertical="top" wrapText="1"/>
    </xf>
    <xf numFmtId="0" fontId="2" fillId="0" borderId="17" xfId="1" applyFont="1" applyBorder="1" applyAlignment="1">
      <alignment vertical="top" wrapText="1"/>
    </xf>
    <xf numFmtId="0" fontId="2" fillId="0" borderId="18" xfId="1" applyFont="1" applyBorder="1" applyAlignment="1">
      <alignment vertical="top" wrapText="1"/>
    </xf>
    <xf numFmtId="0" fontId="2" fillId="7" borderId="19" xfId="1" applyFont="1" applyFill="1" applyBorder="1" applyAlignment="1">
      <alignment vertical="top" wrapText="1"/>
    </xf>
    <xf numFmtId="0" fontId="2" fillId="0" borderId="19" xfId="1" applyFont="1" applyBorder="1" applyAlignment="1">
      <alignment vertical="top" wrapText="1"/>
    </xf>
    <xf numFmtId="0" fontId="2" fillId="8" borderId="19" xfId="1" applyFont="1" applyFill="1" applyBorder="1" applyAlignment="1">
      <alignment vertical="top" wrapText="1"/>
    </xf>
    <xf numFmtId="0" fontId="2" fillId="0" borderId="20" xfId="1" applyFont="1" applyBorder="1" applyAlignment="1">
      <alignment vertical="top" wrapText="1"/>
    </xf>
    <xf numFmtId="0" fontId="2" fillId="9" borderId="4" xfId="1" applyFont="1" applyFill="1" applyBorder="1" applyAlignment="1">
      <alignment vertical="top" wrapText="1"/>
    </xf>
    <xf numFmtId="0" fontId="2" fillId="9" borderId="6" xfId="1" applyFont="1" applyFill="1" applyBorder="1" applyAlignment="1">
      <alignment vertical="top" wrapText="1"/>
    </xf>
    <xf numFmtId="0" fontId="2" fillId="9" borderId="8" xfId="1" applyFont="1" applyFill="1" applyBorder="1" applyAlignment="1">
      <alignment vertical="top" wrapText="1"/>
    </xf>
    <xf numFmtId="0" fontId="6" fillId="0" borderId="0" xfId="0" applyFont="1" applyBorder="1"/>
    <xf numFmtId="0" fontId="0" fillId="14" borderId="0" xfId="0" applyFill="1" applyBorder="1" applyAlignment="1">
      <alignment wrapText="1"/>
    </xf>
    <xf numFmtId="0" fontId="5" fillId="10" borderId="0" xfId="0" applyFont="1" applyFill="1" applyBorder="1" applyAlignment="1">
      <alignment horizontal="center" vertical="center"/>
    </xf>
    <xf numFmtId="0" fontId="0" fillId="11" borderId="0" xfId="0" applyFill="1" applyBorder="1"/>
    <xf numFmtId="0" fontId="0" fillId="0" borderId="0" xfId="0" applyBorder="1" applyAlignment="1">
      <alignment vertical="top" wrapText="1"/>
    </xf>
    <xf numFmtId="0" fontId="0" fillId="12" borderId="0" xfId="0" applyFill="1" applyBorder="1"/>
    <xf numFmtId="0" fontId="0" fillId="13" borderId="0" xfId="0" applyFill="1" applyBorder="1"/>
    <xf numFmtId="0" fontId="1" fillId="2" borderId="1" xfId="1" applyFont="1" applyFill="1" applyAlignment="1">
      <alignment horizontal="center" vertical="center"/>
    </xf>
    <xf numFmtId="0" fontId="0" fillId="0" borderId="0" xfId="0" applyBorder="1"/>
    <xf numFmtId="0" fontId="2" fillId="15" borderId="0" xfId="1" applyFont="1" applyFill="1" applyBorder="1" applyAlignment="1">
      <alignment vertical="top" wrapText="1"/>
    </xf>
    <xf numFmtId="0" fontId="9" fillId="0" borderId="17" xfId="1" applyFont="1" applyBorder="1" applyAlignment="1">
      <alignment vertical="top" wrapText="1"/>
    </xf>
    <xf numFmtId="0" fontId="9" fillId="0" borderId="0" xfId="1" applyFont="1" applyBorder="1" applyAlignment="1">
      <alignment vertical="top" wrapText="1"/>
    </xf>
  </cellXfs>
  <cellStyles count="2">
    <cellStyle name="Normal" xfId="1" xr:uid="{00000000-0005-0000-0000-000001000000}"/>
    <cellStyle name="標準" xfId="0" builtinId="0"/>
  </cellStyles>
  <dxfs count="14">
    <dxf>
      <font>
        <b/>
        <color rgb="FF374151"/>
      </font>
      <fill>
        <patternFill patternType="solid">
          <bgColor rgb="FFE5E7EB"/>
        </patternFill>
      </fill>
    </dxf>
    <dxf>
      <font>
        <b/>
        <color rgb="FF991B1B"/>
      </font>
      <fill>
        <patternFill patternType="solid">
          <bgColor rgb="FFFEE2E2"/>
        </patternFill>
      </fill>
    </dxf>
    <dxf>
      <font>
        <b/>
        <color rgb="FF166534"/>
      </font>
      <fill>
        <patternFill patternType="solid">
          <bgColor rgb="FFDCFCE7"/>
        </patternFill>
      </fill>
    </dxf>
    <dxf>
      <font>
        <color rgb="FF6B21A8"/>
      </font>
      <fill>
        <patternFill patternType="solid">
          <bgColor rgb="FFE9D5FF"/>
        </patternFill>
      </fill>
    </dxf>
    <dxf>
      <font>
        <color rgb="FF1D4ED8"/>
      </font>
      <fill>
        <patternFill patternType="solid">
          <bgColor rgb="FFDBEAFE"/>
        </patternFill>
      </fill>
    </dxf>
    <dxf>
      <font>
        <b/>
        <color rgb="FF92400E"/>
      </font>
      <fill>
        <patternFill patternType="solid">
          <bgColor rgb="FFFDE68A"/>
        </patternFill>
      </fill>
    </dxf>
    <dxf>
      <font>
        <b/>
        <color rgb="FF7F1D1D"/>
      </font>
      <fill>
        <patternFill patternType="solid">
          <bgColor rgb="FFFCA5A5"/>
        </patternFill>
      </fill>
    </dxf>
    <dxf>
      <font>
        <b/>
        <color rgb="FF374151"/>
      </font>
      <fill>
        <patternFill patternType="solid">
          <bgColor rgb="FFE5E7EB"/>
        </patternFill>
      </fill>
    </dxf>
    <dxf>
      <font>
        <b/>
        <color rgb="FF991B1B"/>
      </font>
      <fill>
        <patternFill patternType="solid">
          <bgColor rgb="FFFEE2E2"/>
        </patternFill>
      </fill>
    </dxf>
    <dxf>
      <font>
        <b/>
        <color rgb="FF166534"/>
      </font>
      <fill>
        <patternFill patternType="solid">
          <bgColor rgb="FFDCFCE7"/>
        </patternFill>
      </fill>
    </dxf>
    <dxf>
      <font>
        <color rgb="FF6B21A8"/>
      </font>
      <fill>
        <patternFill patternType="solid">
          <bgColor rgb="FFE9D5FF"/>
        </patternFill>
      </fill>
    </dxf>
    <dxf>
      <font>
        <color rgb="FF1D4ED8"/>
      </font>
      <fill>
        <patternFill patternType="solid">
          <bgColor rgb="FFDBEAFE"/>
        </patternFill>
      </fill>
    </dxf>
    <dxf>
      <font>
        <b/>
        <color rgb="FF92400E"/>
      </font>
      <fill>
        <patternFill patternType="solid">
          <bgColor rgb="FFFDE68A"/>
        </patternFill>
      </fill>
    </dxf>
    <dxf>
      <font>
        <b/>
        <color rgb="FF7F1D1D"/>
      </font>
      <fill>
        <patternFill patternType="solid">
          <bgColor rgb="FFFC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sqref="A1:B1"/>
    </sheetView>
  </sheetViews>
  <sheetFormatPr defaultRowHeight="13.8"/>
  <cols>
    <col min="1" max="1" width="24" customWidth="1"/>
    <col min="2" max="2" width="82" customWidth="1"/>
  </cols>
  <sheetData>
    <row r="1" spans="1:2" ht="15" customHeight="1">
      <c r="A1" s="50" t="s">
        <v>154</v>
      </c>
      <c r="B1" s="51"/>
    </row>
    <row r="2" spans="1:2" ht="15" customHeight="1">
      <c r="A2" s="1"/>
      <c r="B2" s="1"/>
    </row>
    <row r="3" spans="1:2" ht="15" customHeight="1">
      <c r="A3" s="2" t="s">
        <v>155</v>
      </c>
      <c r="B3" s="3" t="s">
        <v>156</v>
      </c>
    </row>
    <row r="4" spans="1:2" ht="15" customHeight="1">
      <c r="A4" s="4" t="s">
        <v>157</v>
      </c>
      <c r="B4" s="5" t="s">
        <v>158</v>
      </c>
    </row>
    <row r="5" spans="1:2" ht="15" customHeight="1">
      <c r="A5" s="6" t="s">
        <v>1</v>
      </c>
      <c r="B5" s="7" t="s">
        <v>2</v>
      </c>
    </row>
    <row r="6" spans="1:2" ht="15" customHeight="1">
      <c r="A6" s="6" t="s">
        <v>6</v>
      </c>
      <c r="B6" s="7" t="s">
        <v>7</v>
      </c>
    </row>
    <row r="7" spans="1:2" ht="15" customHeight="1">
      <c r="A7" s="6" t="s">
        <v>159</v>
      </c>
      <c r="B7" s="7" t="s">
        <v>160</v>
      </c>
    </row>
    <row r="8" spans="1:2" ht="24.45" customHeight="1">
      <c r="A8" s="6" t="s">
        <v>161</v>
      </c>
      <c r="B8" s="7" t="s">
        <v>162</v>
      </c>
    </row>
    <row r="9" spans="1:2" ht="24.45" customHeight="1">
      <c r="A9" s="6" t="s">
        <v>163</v>
      </c>
      <c r="B9" s="7" t="s">
        <v>164</v>
      </c>
    </row>
    <row r="10" spans="1:2" ht="24.45" customHeight="1">
      <c r="A10" s="6" t="s">
        <v>165</v>
      </c>
      <c r="B10" s="7" t="s">
        <v>166</v>
      </c>
    </row>
    <row r="11" spans="1:2" ht="15" customHeight="1">
      <c r="A11" s="6" t="s">
        <v>167</v>
      </c>
      <c r="B11" s="7" t="s">
        <v>168</v>
      </c>
    </row>
    <row r="12" spans="1:2" ht="15" customHeight="1">
      <c r="A12" s="6" t="s">
        <v>169</v>
      </c>
      <c r="B12" s="7" t="s">
        <v>170</v>
      </c>
    </row>
    <row r="13" spans="1:2" ht="15" customHeight="1">
      <c r="A13" s="6" t="s">
        <v>171</v>
      </c>
      <c r="B13" s="7" t="s">
        <v>172</v>
      </c>
    </row>
    <row r="14" spans="1:2" ht="15" customHeight="1">
      <c r="A14" s="6" t="s">
        <v>173</v>
      </c>
      <c r="B14" s="7" t="s">
        <v>174</v>
      </c>
    </row>
    <row r="15" spans="1:2" ht="36.6" customHeight="1">
      <c r="A15" s="6" t="s">
        <v>175</v>
      </c>
      <c r="B15" s="7" t="s">
        <v>176</v>
      </c>
    </row>
    <row r="16" spans="1:2" ht="24.45" customHeight="1">
      <c r="A16" s="6" t="s">
        <v>177</v>
      </c>
      <c r="B16" s="7" t="s">
        <v>178</v>
      </c>
    </row>
    <row r="17" spans="1:2" ht="15" customHeight="1">
      <c r="A17" s="6" t="s">
        <v>179</v>
      </c>
      <c r="B17" s="7" t="s">
        <v>180</v>
      </c>
    </row>
    <row r="18" spans="1:2" ht="15" customHeight="1">
      <c r="A18" s="6" t="s">
        <v>181</v>
      </c>
      <c r="B18" s="7" t="s">
        <v>2</v>
      </c>
    </row>
    <row r="19" spans="1:2" ht="15" customHeight="1">
      <c r="A19" s="6" t="s">
        <v>182</v>
      </c>
      <c r="B19" s="7" t="s">
        <v>183</v>
      </c>
    </row>
    <row r="20" spans="1:2" ht="15" customHeight="1">
      <c r="A20" s="6" t="s">
        <v>184</v>
      </c>
      <c r="B20" s="7" t="s">
        <v>7</v>
      </c>
    </row>
    <row r="21" spans="1:2" ht="15" customHeight="1">
      <c r="A21" s="6" t="s">
        <v>185</v>
      </c>
      <c r="B21" s="7" t="s">
        <v>186</v>
      </c>
    </row>
    <row r="22" spans="1:2" ht="15" customHeight="1">
      <c r="A22" s="6" t="s">
        <v>187</v>
      </c>
      <c r="B22" s="7" t="s">
        <v>188</v>
      </c>
    </row>
    <row r="23" spans="1:2" ht="24.45" customHeight="1">
      <c r="A23" s="8" t="s">
        <v>189</v>
      </c>
      <c r="B23" s="9" t="s">
        <v>190</v>
      </c>
    </row>
  </sheetData>
  <mergeCells count="1">
    <mergeCell ref="A1:B1"/>
  </mergeCells>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opLeftCell="A17" workbookViewId="0">
      <selection activeCell="F27" sqref="F27"/>
    </sheetView>
  </sheetViews>
  <sheetFormatPr defaultRowHeight="13.8"/>
  <cols>
    <col min="1" max="1" width="7" customWidth="1"/>
    <col min="2" max="2" width="16" customWidth="1"/>
    <col min="3" max="3" width="26" customWidth="1"/>
    <col min="4" max="4" width="28" customWidth="1"/>
    <col min="5" max="5" width="40" customWidth="1"/>
    <col min="6" max="6" width="11" customWidth="1"/>
    <col min="7" max="7" width="10" customWidth="1"/>
    <col min="8" max="8" width="34" customWidth="1"/>
  </cols>
  <sheetData>
    <row r="1" spans="1:8" ht="15" customHeight="1">
      <c r="A1" s="50" t="s">
        <v>191</v>
      </c>
      <c r="B1" s="51"/>
      <c r="C1" s="51"/>
      <c r="D1" s="51"/>
      <c r="E1" s="51"/>
      <c r="F1" s="51"/>
      <c r="G1" s="51"/>
      <c r="H1" s="51"/>
    </row>
    <row r="2" spans="1:8" ht="15" customHeight="1">
      <c r="A2" s="1"/>
      <c r="B2" s="1"/>
      <c r="C2" s="1"/>
      <c r="D2" s="1"/>
      <c r="E2" s="1"/>
      <c r="F2" s="1"/>
      <c r="G2" s="1"/>
      <c r="H2" s="1"/>
    </row>
    <row r="3" spans="1:8" ht="36.6" customHeight="1">
      <c r="A3" s="10" t="s">
        <v>1</v>
      </c>
      <c r="B3" s="11" t="s">
        <v>2</v>
      </c>
      <c r="C3" s="11"/>
      <c r="D3" s="11" t="s">
        <v>3</v>
      </c>
      <c r="E3" s="11" t="s">
        <v>4</v>
      </c>
      <c r="F3" s="11"/>
      <c r="G3" s="12" t="s">
        <v>5</v>
      </c>
      <c r="H3" s="13">
        <f>COUNTIF(G6:G35,"OK")</f>
        <v>26</v>
      </c>
    </row>
    <row r="4" spans="1:8" ht="36.6" customHeight="1">
      <c r="A4" s="14" t="s">
        <v>6</v>
      </c>
      <c r="B4" s="15" t="s">
        <v>7</v>
      </c>
      <c r="C4" s="15"/>
      <c r="D4" s="15"/>
      <c r="E4" s="15"/>
      <c r="F4" s="15"/>
      <c r="G4" s="16" t="s">
        <v>8</v>
      </c>
      <c r="H4" s="17">
        <f>COUNTIF(G6:G35,"NG")</f>
        <v>1</v>
      </c>
    </row>
    <row r="5" spans="1:8" ht="36.6" customHeight="1">
      <c r="A5" s="18" t="s">
        <v>9</v>
      </c>
      <c r="B5" s="19" t="s">
        <v>10</v>
      </c>
      <c r="C5" s="19"/>
      <c r="D5" s="19"/>
      <c r="E5" s="19"/>
      <c r="F5" s="19"/>
      <c r="G5" s="20" t="s">
        <v>11</v>
      </c>
      <c r="H5" s="21">
        <f>COUNTIF(G6:G35,"NA")</f>
        <v>0</v>
      </c>
    </row>
    <row r="6" spans="1:8" ht="15" customHeight="1">
      <c r="A6" s="22" t="s">
        <v>12</v>
      </c>
      <c r="B6" s="23" t="s">
        <v>13</v>
      </c>
      <c r="C6" s="23" t="s">
        <v>14</v>
      </c>
      <c r="D6" s="23" t="s">
        <v>15</v>
      </c>
      <c r="E6" s="23" t="s">
        <v>16</v>
      </c>
      <c r="F6" s="23" t="s">
        <v>17</v>
      </c>
      <c r="G6" s="23" t="s">
        <v>18</v>
      </c>
      <c r="H6" s="24" t="s">
        <v>19</v>
      </c>
    </row>
    <row r="7" spans="1:8" ht="36.6" customHeight="1">
      <c r="A7" s="25">
        <v>1</v>
      </c>
      <c r="B7" s="26" t="s">
        <v>192</v>
      </c>
      <c r="C7" s="27" t="s">
        <v>193</v>
      </c>
      <c r="D7" s="27" t="s">
        <v>194</v>
      </c>
      <c r="E7" s="27" t="s">
        <v>195</v>
      </c>
      <c r="F7" s="28" t="s">
        <v>24</v>
      </c>
      <c r="G7" s="27" t="s">
        <v>25</v>
      </c>
      <c r="H7" s="29" t="s">
        <v>196</v>
      </c>
    </row>
    <row r="8" spans="1:8" ht="24.45" customHeight="1">
      <c r="A8" s="30">
        <v>2</v>
      </c>
      <c r="B8" s="31" t="s">
        <v>192</v>
      </c>
      <c r="C8" s="32" t="s">
        <v>197</v>
      </c>
      <c r="D8" s="32" t="s">
        <v>198</v>
      </c>
      <c r="E8" s="32" t="s">
        <v>199</v>
      </c>
      <c r="F8" s="33" t="s">
        <v>39</v>
      </c>
      <c r="G8" s="32" t="s">
        <v>25</v>
      </c>
      <c r="H8" s="34" t="s">
        <v>200</v>
      </c>
    </row>
    <row r="9" spans="1:8" ht="24.45" customHeight="1">
      <c r="A9" s="30">
        <v>3</v>
      </c>
      <c r="B9" s="31" t="s">
        <v>192</v>
      </c>
      <c r="C9" s="32" t="s">
        <v>201</v>
      </c>
      <c r="D9" s="32" t="s">
        <v>202</v>
      </c>
      <c r="E9" s="32" t="s">
        <v>203</v>
      </c>
      <c r="F9" s="33" t="s">
        <v>39</v>
      </c>
      <c r="G9" s="32" t="s">
        <v>25</v>
      </c>
      <c r="H9" s="34" t="s">
        <v>204</v>
      </c>
    </row>
    <row r="10" spans="1:8" ht="24.45" customHeight="1">
      <c r="A10" s="30">
        <v>4</v>
      </c>
      <c r="B10" s="31" t="s">
        <v>205</v>
      </c>
      <c r="C10" s="32" t="s">
        <v>206</v>
      </c>
      <c r="D10" s="32" t="s">
        <v>207</v>
      </c>
      <c r="E10" s="32" t="s">
        <v>208</v>
      </c>
      <c r="F10" s="33" t="s">
        <v>24</v>
      </c>
      <c r="G10" s="32" t="s">
        <v>25</v>
      </c>
      <c r="H10" s="34" t="s">
        <v>209</v>
      </c>
    </row>
    <row r="11" spans="1:8" ht="24.45" customHeight="1">
      <c r="A11" s="30">
        <v>5</v>
      </c>
      <c r="B11" s="31" t="s">
        <v>205</v>
      </c>
      <c r="C11" s="32" t="s">
        <v>210</v>
      </c>
      <c r="D11" s="32" t="s">
        <v>211</v>
      </c>
      <c r="E11" s="32" t="s">
        <v>212</v>
      </c>
      <c r="F11" s="33" t="s">
        <v>24</v>
      </c>
      <c r="G11" s="32" t="s">
        <v>25</v>
      </c>
      <c r="H11" s="34" t="s">
        <v>213</v>
      </c>
    </row>
    <row r="12" spans="1:8" ht="24.45" customHeight="1">
      <c r="A12" s="30">
        <v>6</v>
      </c>
      <c r="B12" s="31" t="s">
        <v>205</v>
      </c>
      <c r="C12" s="32" t="s">
        <v>214</v>
      </c>
      <c r="D12" s="32" t="s">
        <v>215</v>
      </c>
      <c r="E12" s="32" t="s">
        <v>216</v>
      </c>
      <c r="F12" s="33" t="s">
        <v>24</v>
      </c>
      <c r="G12" s="32" t="s">
        <v>25</v>
      </c>
      <c r="H12" s="34" t="s">
        <v>217</v>
      </c>
    </row>
    <row r="13" spans="1:8" ht="24.45" customHeight="1">
      <c r="A13" s="30">
        <v>7</v>
      </c>
      <c r="B13" s="31" t="s">
        <v>205</v>
      </c>
      <c r="C13" s="32" t="s">
        <v>218</v>
      </c>
      <c r="D13" s="32" t="s">
        <v>219</v>
      </c>
      <c r="E13" s="32" t="s">
        <v>220</v>
      </c>
      <c r="F13" s="33" t="s">
        <v>39</v>
      </c>
      <c r="G13" s="32" t="s">
        <v>25</v>
      </c>
      <c r="H13" s="34" t="s">
        <v>221</v>
      </c>
    </row>
    <row r="14" spans="1:8" ht="24.45" customHeight="1">
      <c r="A14" s="30">
        <v>8</v>
      </c>
      <c r="B14" s="31" t="s">
        <v>205</v>
      </c>
      <c r="C14" s="32" t="s">
        <v>222</v>
      </c>
      <c r="D14" s="32" t="s">
        <v>223</v>
      </c>
      <c r="E14" s="32" t="s">
        <v>224</v>
      </c>
      <c r="F14" s="33" t="s">
        <v>24</v>
      </c>
      <c r="G14" s="32" t="s">
        <v>25</v>
      </c>
      <c r="H14" s="34" t="s">
        <v>225</v>
      </c>
    </row>
    <row r="15" spans="1:8" ht="24.45" customHeight="1">
      <c r="A15" s="30">
        <v>9</v>
      </c>
      <c r="B15" s="31" t="s">
        <v>226</v>
      </c>
      <c r="C15" s="32" t="s">
        <v>227</v>
      </c>
      <c r="D15" s="32" t="s">
        <v>228</v>
      </c>
      <c r="E15" s="32" t="s">
        <v>229</v>
      </c>
      <c r="F15" s="33" t="s">
        <v>39</v>
      </c>
      <c r="G15" s="32" t="s">
        <v>25</v>
      </c>
      <c r="H15" s="34" t="s">
        <v>230</v>
      </c>
    </row>
    <row r="16" spans="1:8" ht="24.45" customHeight="1">
      <c r="A16" s="30">
        <v>10</v>
      </c>
      <c r="B16" s="31" t="s">
        <v>226</v>
      </c>
      <c r="C16" s="32" t="s">
        <v>231</v>
      </c>
      <c r="D16" s="32" t="s">
        <v>232</v>
      </c>
      <c r="E16" s="32" t="s">
        <v>233</v>
      </c>
      <c r="F16" s="33" t="s">
        <v>39</v>
      </c>
      <c r="G16" s="32" t="s">
        <v>25</v>
      </c>
      <c r="H16" s="34" t="s">
        <v>234</v>
      </c>
    </row>
    <row r="17" spans="1:8" ht="24.45" customHeight="1">
      <c r="A17" s="30">
        <v>11</v>
      </c>
      <c r="B17" s="31" t="s">
        <v>235</v>
      </c>
      <c r="C17" s="32" t="s">
        <v>236</v>
      </c>
      <c r="D17" s="32" t="s">
        <v>237</v>
      </c>
      <c r="E17" s="32" t="s">
        <v>238</v>
      </c>
      <c r="F17" s="33" t="s">
        <v>24</v>
      </c>
      <c r="G17" s="32" t="s">
        <v>25</v>
      </c>
      <c r="H17" s="34" t="s">
        <v>239</v>
      </c>
    </row>
    <row r="18" spans="1:8" ht="24.45" customHeight="1">
      <c r="A18" s="30">
        <v>12</v>
      </c>
      <c r="B18" s="31" t="s">
        <v>235</v>
      </c>
      <c r="C18" s="32" t="s">
        <v>240</v>
      </c>
      <c r="D18" s="32" t="s">
        <v>241</v>
      </c>
      <c r="E18" s="32" t="s">
        <v>242</v>
      </c>
      <c r="F18" s="33" t="s">
        <v>24</v>
      </c>
      <c r="G18" s="32" t="s">
        <v>25</v>
      </c>
      <c r="H18" s="34" t="s">
        <v>243</v>
      </c>
    </row>
    <row r="19" spans="1:8" ht="24.45" customHeight="1">
      <c r="A19" s="30">
        <v>13</v>
      </c>
      <c r="B19" s="31" t="s">
        <v>235</v>
      </c>
      <c r="C19" s="32" t="s">
        <v>244</v>
      </c>
      <c r="D19" s="32" t="s">
        <v>245</v>
      </c>
      <c r="E19" s="32" t="s">
        <v>246</v>
      </c>
      <c r="F19" s="33" t="s">
        <v>39</v>
      </c>
      <c r="G19" s="32" t="s">
        <v>25</v>
      </c>
      <c r="H19" s="34" t="s">
        <v>247</v>
      </c>
    </row>
    <row r="20" spans="1:8" ht="24.45" customHeight="1">
      <c r="A20" s="30">
        <v>14</v>
      </c>
      <c r="B20" s="31" t="s">
        <v>235</v>
      </c>
      <c r="C20" s="32" t="s">
        <v>248</v>
      </c>
      <c r="D20" s="32" t="s">
        <v>249</v>
      </c>
      <c r="E20" s="32" t="s">
        <v>250</v>
      </c>
      <c r="F20" s="33" t="s">
        <v>39</v>
      </c>
      <c r="G20" s="32" t="s">
        <v>25</v>
      </c>
      <c r="H20" s="34" t="s">
        <v>251</v>
      </c>
    </row>
    <row r="21" spans="1:8" ht="24.45" customHeight="1">
      <c r="A21" s="30">
        <v>15</v>
      </c>
      <c r="B21" s="31" t="s">
        <v>252</v>
      </c>
      <c r="C21" s="32" t="s">
        <v>253</v>
      </c>
      <c r="D21" s="32" t="s">
        <v>254</v>
      </c>
      <c r="E21" s="32" t="s">
        <v>255</v>
      </c>
      <c r="F21" s="33" t="s">
        <v>39</v>
      </c>
      <c r="G21" s="32" t="s">
        <v>25</v>
      </c>
      <c r="H21" s="34" t="s">
        <v>256</v>
      </c>
    </row>
    <row r="22" spans="1:8" ht="24.45" customHeight="1">
      <c r="A22" s="30">
        <v>16</v>
      </c>
      <c r="B22" s="31" t="s">
        <v>252</v>
      </c>
      <c r="C22" s="32" t="s">
        <v>257</v>
      </c>
      <c r="D22" s="32" t="s">
        <v>258</v>
      </c>
      <c r="E22" s="32" t="s">
        <v>259</v>
      </c>
      <c r="F22" s="33" t="s">
        <v>39</v>
      </c>
      <c r="G22" s="32" t="s">
        <v>25</v>
      </c>
      <c r="H22" s="34" t="s">
        <v>260</v>
      </c>
    </row>
    <row r="23" spans="1:8" ht="24.45" customHeight="1">
      <c r="A23" s="30">
        <v>17</v>
      </c>
      <c r="B23" s="31" t="s">
        <v>252</v>
      </c>
      <c r="C23" s="32" t="s">
        <v>261</v>
      </c>
      <c r="D23" s="32" t="s">
        <v>262</v>
      </c>
      <c r="E23" s="32" t="s">
        <v>263</v>
      </c>
      <c r="F23" s="33" t="s">
        <v>127</v>
      </c>
      <c r="G23" s="32" t="s">
        <v>25</v>
      </c>
      <c r="H23" s="34" t="s">
        <v>264</v>
      </c>
    </row>
    <row r="24" spans="1:8" ht="24.45" customHeight="1">
      <c r="A24" s="30">
        <v>18</v>
      </c>
      <c r="B24" s="31" t="s">
        <v>265</v>
      </c>
      <c r="C24" s="32" t="s">
        <v>266</v>
      </c>
      <c r="D24" s="32" t="s">
        <v>267</v>
      </c>
      <c r="E24" s="32" t="s">
        <v>268</v>
      </c>
      <c r="F24" s="33" t="s">
        <v>24</v>
      </c>
      <c r="G24" s="32" t="s">
        <v>25</v>
      </c>
      <c r="H24" s="34" t="s">
        <v>269</v>
      </c>
    </row>
    <row r="25" spans="1:8" ht="24.45" customHeight="1">
      <c r="A25" s="30">
        <v>19</v>
      </c>
      <c r="B25" s="31" t="s">
        <v>265</v>
      </c>
      <c r="C25" s="32" t="s">
        <v>270</v>
      </c>
      <c r="D25" s="32" t="s">
        <v>271</v>
      </c>
      <c r="E25" s="32" t="s">
        <v>272</v>
      </c>
      <c r="F25" s="33" t="s">
        <v>24</v>
      </c>
      <c r="G25" s="32" t="s">
        <v>25</v>
      </c>
      <c r="H25" s="34" t="s">
        <v>273</v>
      </c>
    </row>
    <row r="26" spans="1:8" ht="37.200000000000003">
      <c r="A26" s="30">
        <v>20</v>
      </c>
      <c r="B26" s="31" t="s">
        <v>265</v>
      </c>
      <c r="C26" s="32" t="s">
        <v>274</v>
      </c>
      <c r="D26" s="32" t="s">
        <v>275</v>
      </c>
      <c r="E26" s="32" t="s">
        <v>276</v>
      </c>
      <c r="F26" s="33" t="s">
        <v>24</v>
      </c>
      <c r="G26" s="32" t="s">
        <v>25</v>
      </c>
      <c r="H26" s="53" t="s">
        <v>410</v>
      </c>
    </row>
    <row r="27" spans="1:8" ht="38.4">
      <c r="A27" s="30">
        <v>21</v>
      </c>
      <c r="B27" s="31" t="s">
        <v>265</v>
      </c>
      <c r="C27" s="32" t="s">
        <v>277</v>
      </c>
      <c r="D27" s="32" t="s">
        <v>278</v>
      </c>
      <c r="E27" s="32" t="s">
        <v>279</v>
      </c>
      <c r="F27" s="33" t="s">
        <v>54</v>
      </c>
      <c r="G27" s="32" t="s">
        <v>25</v>
      </c>
      <c r="H27" s="34" t="s">
        <v>411</v>
      </c>
    </row>
    <row r="28" spans="1:8" ht="24.45" customHeight="1">
      <c r="A28" s="30">
        <v>22</v>
      </c>
      <c r="B28" s="31" t="s">
        <v>280</v>
      </c>
      <c r="C28" s="32" t="s">
        <v>281</v>
      </c>
      <c r="D28" s="32" t="s">
        <v>282</v>
      </c>
      <c r="E28" s="32" t="s">
        <v>283</v>
      </c>
      <c r="F28" s="33" t="s">
        <v>39</v>
      </c>
      <c r="G28" s="32" t="s">
        <v>25</v>
      </c>
      <c r="H28" s="34" t="s">
        <v>284</v>
      </c>
    </row>
    <row r="29" spans="1:8" ht="15" customHeight="1">
      <c r="A29" s="30">
        <v>23</v>
      </c>
      <c r="B29" s="31" t="s">
        <v>280</v>
      </c>
      <c r="C29" s="32" t="s">
        <v>285</v>
      </c>
      <c r="D29" s="32" t="s">
        <v>286</v>
      </c>
      <c r="E29" s="32" t="s">
        <v>287</v>
      </c>
      <c r="F29" s="33" t="s">
        <v>39</v>
      </c>
      <c r="G29" s="32" t="s">
        <v>25</v>
      </c>
      <c r="H29" s="34" t="s">
        <v>288</v>
      </c>
    </row>
    <row r="30" spans="1:8" ht="36.6" customHeight="1">
      <c r="A30" s="30">
        <v>24</v>
      </c>
      <c r="B30" s="31" t="s">
        <v>280</v>
      </c>
      <c r="C30" s="32" t="s">
        <v>289</v>
      </c>
      <c r="D30" s="32" t="s">
        <v>290</v>
      </c>
      <c r="E30" s="32" t="s">
        <v>291</v>
      </c>
      <c r="F30" s="33" t="s">
        <v>39</v>
      </c>
      <c r="G30" s="32" t="s">
        <v>25</v>
      </c>
      <c r="H30" s="34" t="s">
        <v>292</v>
      </c>
    </row>
    <row r="31" spans="1:8" ht="24.45" customHeight="1">
      <c r="A31" s="30">
        <v>25</v>
      </c>
      <c r="B31" s="31" t="s">
        <v>293</v>
      </c>
      <c r="C31" s="32" t="s">
        <v>294</v>
      </c>
      <c r="D31" s="32" t="s">
        <v>295</v>
      </c>
      <c r="E31" s="32" t="s">
        <v>296</v>
      </c>
      <c r="F31" s="33" t="s">
        <v>24</v>
      </c>
      <c r="G31" s="32" t="s">
        <v>25</v>
      </c>
      <c r="H31" s="34" t="s">
        <v>297</v>
      </c>
    </row>
    <row r="32" spans="1:8" ht="24.45" customHeight="1">
      <c r="A32" s="30">
        <v>26</v>
      </c>
      <c r="B32" s="31" t="s">
        <v>293</v>
      </c>
      <c r="C32" s="32" t="s">
        <v>298</v>
      </c>
      <c r="D32" s="32" t="s">
        <v>299</v>
      </c>
      <c r="E32" s="32" t="s">
        <v>300</v>
      </c>
      <c r="F32" s="33" t="s">
        <v>39</v>
      </c>
      <c r="G32" s="32" t="s">
        <v>34</v>
      </c>
      <c r="H32" s="34" t="s">
        <v>301</v>
      </c>
    </row>
    <row r="33" spans="1:8" ht="24.45" customHeight="1">
      <c r="A33" s="30">
        <v>27</v>
      </c>
      <c r="B33" s="31" t="s">
        <v>293</v>
      </c>
      <c r="C33" s="32" t="s">
        <v>302</v>
      </c>
      <c r="D33" s="32" t="s">
        <v>303</v>
      </c>
      <c r="E33" s="32" t="s">
        <v>304</v>
      </c>
      <c r="F33" s="33" t="s">
        <v>24</v>
      </c>
      <c r="G33" s="32" t="s">
        <v>25</v>
      </c>
      <c r="H33" s="34" t="s">
        <v>305</v>
      </c>
    </row>
    <row r="34" spans="1:8" ht="15" customHeight="1">
      <c r="A34" s="30">
        <v>28</v>
      </c>
      <c r="B34" s="31" t="s">
        <v>293</v>
      </c>
      <c r="C34" s="32" t="s">
        <v>306</v>
      </c>
      <c r="D34" s="32" t="s">
        <v>307</v>
      </c>
      <c r="E34" s="32" t="s">
        <v>308</v>
      </c>
      <c r="F34" s="33" t="s">
        <v>127</v>
      </c>
      <c r="G34" s="52" t="s">
        <v>93</v>
      </c>
      <c r="H34" s="34" t="s">
        <v>309</v>
      </c>
    </row>
    <row r="35" spans="1:8" ht="24.45" customHeight="1">
      <c r="A35" s="30">
        <v>29</v>
      </c>
      <c r="B35" s="31" t="s">
        <v>143</v>
      </c>
      <c r="C35" s="32" t="s">
        <v>310</v>
      </c>
      <c r="D35" s="32" t="s">
        <v>311</v>
      </c>
      <c r="E35" s="32" t="s">
        <v>312</v>
      </c>
      <c r="F35" s="33" t="s">
        <v>24</v>
      </c>
      <c r="G35" s="32" t="s">
        <v>34</v>
      </c>
      <c r="H35" s="34" t="s">
        <v>313</v>
      </c>
    </row>
    <row r="36" spans="1:8" ht="24.45" customHeight="1">
      <c r="A36" s="35">
        <v>30</v>
      </c>
      <c r="B36" s="36" t="s">
        <v>143</v>
      </c>
      <c r="C36" s="37" t="s">
        <v>314</v>
      </c>
      <c r="D36" s="37" t="s">
        <v>315</v>
      </c>
      <c r="E36" s="37" t="s">
        <v>316</v>
      </c>
      <c r="F36" s="38" t="s">
        <v>39</v>
      </c>
      <c r="G36" s="37" t="s">
        <v>34</v>
      </c>
      <c r="H36" s="39" t="s">
        <v>317</v>
      </c>
    </row>
  </sheetData>
  <mergeCells count="1">
    <mergeCell ref="A1:H1"/>
  </mergeCells>
  <phoneticPr fontId="4"/>
  <conditionalFormatting sqref="F7:F36">
    <cfRule type="containsText" dxfId="13" priority="4" operator="containsText" text="最重要"/>
    <cfRule type="containsText" dxfId="12" priority="5" operator="containsText" text="高"/>
    <cfRule type="containsText" dxfId="11" priority="6" operator="containsText" text="中"/>
    <cfRule type="containsText" dxfId="10" priority="7" operator="containsText" text="低"/>
  </conditionalFormatting>
  <conditionalFormatting sqref="G7:G36">
    <cfRule type="containsText" dxfId="9" priority="1" operator="containsText" text="OK"/>
    <cfRule type="containsText" dxfId="8" priority="2" operator="containsText" text="NG"/>
    <cfRule type="containsText" dxfId="7" priority="3" operator="containsText" text="NA"/>
  </conditionalFormatting>
  <dataValidations count="1">
    <dataValidation type="list" allowBlank="1" sqref="G7:G36" xr:uid="{00000000-0002-0000-0100-000000000000}">
      <formula1>"OK,NG,NA"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tabSelected="1" workbookViewId="0">
      <selection activeCell="H23" sqref="H23"/>
    </sheetView>
  </sheetViews>
  <sheetFormatPr defaultRowHeight="13.8"/>
  <cols>
    <col min="1" max="1" width="7" customWidth="1"/>
    <col min="2" max="2" width="16" customWidth="1"/>
    <col min="3" max="3" width="26" customWidth="1"/>
    <col min="4" max="4" width="28" customWidth="1"/>
    <col min="5" max="5" width="40" customWidth="1"/>
    <col min="6" max="6" width="11" customWidth="1"/>
    <col min="7" max="7" width="10" customWidth="1"/>
    <col min="8" max="8" width="34" customWidth="1"/>
  </cols>
  <sheetData>
    <row r="1" spans="1:8" ht="15" customHeight="1">
      <c r="A1" s="50" t="s">
        <v>0</v>
      </c>
      <c r="B1" s="51"/>
      <c r="C1" s="51"/>
      <c r="D1" s="51"/>
      <c r="E1" s="51"/>
      <c r="F1" s="51"/>
      <c r="G1" s="51"/>
      <c r="H1" s="51"/>
    </row>
    <row r="2" spans="1:8" ht="15" customHeight="1">
      <c r="A2" s="1"/>
      <c r="B2" s="1"/>
      <c r="C2" s="1"/>
      <c r="D2" s="1"/>
      <c r="E2" s="1"/>
      <c r="F2" s="1"/>
      <c r="G2" s="1"/>
      <c r="H2" s="1"/>
    </row>
    <row r="3" spans="1:8" ht="36.6" customHeight="1">
      <c r="A3" s="10" t="s">
        <v>1</v>
      </c>
      <c r="B3" s="11" t="s">
        <v>2</v>
      </c>
      <c r="C3" s="11"/>
      <c r="D3" s="11" t="s">
        <v>3</v>
      </c>
      <c r="E3" s="11" t="s">
        <v>4</v>
      </c>
      <c r="F3" s="11"/>
      <c r="G3" s="12" t="s">
        <v>5</v>
      </c>
      <c r="H3" s="13">
        <f>COUNTIF(G6:G35,"OK")</f>
        <v>18</v>
      </c>
    </row>
    <row r="4" spans="1:8" ht="36.6" customHeight="1">
      <c r="A4" s="14" t="s">
        <v>6</v>
      </c>
      <c r="B4" s="15" t="s">
        <v>7</v>
      </c>
      <c r="C4" s="15"/>
      <c r="D4" s="15"/>
      <c r="E4" s="15"/>
      <c r="F4" s="15"/>
      <c r="G4" s="16" t="s">
        <v>8</v>
      </c>
      <c r="H4" s="17">
        <f>COUNTIF(G6:G35,"NG")</f>
        <v>4</v>
      </c>
    </row>
    <row r="5" spans="1:8" ht="36.6" customHeight="1">
      <c r="A5" s="18" t="s">
        <v>9</v>
      </c>
      <c r="B5" s="19" t="s">
        <v>10</v>
      </c>
      <c r="C5" s="19"/>
      <c r="D5" s="19"/>
      <c r="E5" s="19"/>
      <c r="F5" s="19"/>
      <c r="G5" s="20" t="s">
        <v>11</v>
      </c>
      <c r="H5" s="21">
        <f>COUNTIF(G6:G35,"NA")</f>
        <v>0</v>
      </c>
    </row>
    <row r="6" spans="1:8" ht="15" customHeight="1">
      <c r="A6" s="22" t="s">
        <v>12</v>
      </c>
      <c r="B6" s="23" t="s">
        <v>13</v>
      </c>
      <c r="C6" s="23" t="s">
        <v>14</v>
      </c>
      <c r="D6" s="23" t="s">
        <v>15</v>
      </c>
      <c r="E6" s="23" t="s">
        <v>16</v>
      </c>
      <c r="F6" s="23" t="s">
        <v>17</v>
      </c>
      <c r="G6" s="23" t="s">
        <v>18</v>
      </c>
      <c r="H6" s="24" t="s">
        <v>19</v>
      </c>
    </row>
    <row r="7" spans="1:8" ht="24.45" customHeight="1">
      <c r="A7" s="25">
        <v>1</v>
      </c>
      <c r="B7" s="26" t="s">
        <v>20</v>
      </c>
      <c r="C7" s="27" t="s">
        <v>21</v>
      </c>
      <c r="D7" s="27" t="s">
        <v>22</v>
      </c>
      <c r="E7" s="27" t="s">
        <v>23</v>
      </c>
      <c r="F7" s="28" t="s">
        <v>24</v>
      </c>
      <c r="G7" s="27" t="s">
        <v>25</v>
      </c>
      <c r="H7" s="29" t="s">
        <v>26</v>
      </c>
    </row>
    <row r="8" spans="1:8" ht="24.45" customHeight="1">
      <c r="A8" s="30">
        <v>2</v>
      </c>
      <c r="B8" s="31" t="s">
        <v>20</v>
      </c>
      <c r="C8" s="32" t="s">
        <v>27</v>
      </c>
      <c r="D8" s="32" t="s">
        <v>28</v>
      </c>
      <c r="E8" s="32" t="s">
        <v>29</v>
      </c>
      <c r="F8" s="33" t="s">
        <v>24</v>
      </c>
      <c r="G8" s="32" t="s">
        <v>25</v>
      </c>
      <c r="H8" s="34" t="s">
        <v>30</v>
      </c>
    </row>
    <row r="9" spans="1:8" ht="24.45" customHeight="1">
      <c r="A9" s="30">
        <v>3</v>
      </c>
      <c r="B9" s="31" t="s">
        <v>20</v>
      </c>
      <c r="C9" s="32" t="s">
        <v>31</v>
      </c>
      <c r="D9" s="32" t="s">
        <v>32</v>
      </c>
      <c r="E9" s="32" t="s">
        <v>33</v>
      </c>
      <c r="F9" s="33" t="s">
        <v>24</v>
      </c>
      <c r="G9" s="32" t="s">
        <v>34</v>
      </c>
      <c r="H9" s="34" t="s">
        <v>35</v>
      </c>
    </row>
    <row r="10" spans="1:8" ht="24.45" customHeight="1">
      <c r="A10" s="30">
        <v>4</v>
      </c>
      <c r="B10" s="31" t="s">
        <v>20</v>
      </c>
      <c r="C10" s="32" t="s">
        <v>36</v>
      </c>
      <c r="D10" s="32" t="s">
        <v>37</v>
      </c>
      <c r="E10" s="32" t="s">
        <v>38</v>
      </c>
      <c r="F10" s="33" t="s">
        <v>39</v>
      </c>
      <c r="G10" s="32" t="s">
        <v>25</v>
      </c>
      <c r="H10" s="34" t="s">
        <v>40</v>
      </c>
    </row>
    <row r="11" spans="1:8" ht="24.45" customHeight="1">
      <c r="A11" s="30">
        <v>5</v>
      </c>
      <c r="B11" s="31" t="s">
        <v>41</v>
      </c>
      <c r="C11" s="32" t="s">
        <v>42</v>
      </c>
      <c r="D11" s="32" t="s">
        <v>43</v>
      </c>
      <c r="E11" s="32" t="s">
        <v>44</v>
      </c>
      <c r="F11" s="33" t="s">
        <v>39</v>
      </c>
      <c r="G11" s="32" t="s">
        <v>25</v>
      </c>
      <c r="H11" s="34" t="s">
        <v>45</v>
      </c>
    </row>
    <row r="12" spans="1:8" ht="24.45" customHeight="1">
      <c r="A12" s="30">
        <v>6</v>
      </c>
      <c r="B12" s="31" t="s">
        <v>41</v>
      </c>
      <c r="C12" s="32" t="s">
        <v>46</v>
      </c>
      <c r="D12" s="32" t="s">
        <v>47</v>
      </c>
      <c r="E12" s="32" t="s">
        <v>48</v>
      </c>
      <c r="F12" s="33" t="s">
        <v>39</v>
      </c>
      <c r="G12" s="32" t="s">
        <v>25</v>
      </c>
      <c r="H12" s="34" t="s">
        <v>49</v>
      </c>
    </row>
    <row r="13" spans="1:8" ht="24.45" customHeight="1">
      <c r="A13" s="30">
        <v>7</v>
      </c>
      <c r="B13" s="31" t="s">
        <v>50</v>
      </c>
      <c r="C13" s="32" t="s">
        <v>51</v>
      </c>
      <c r="D13" s="32" t="s">
        <v>52</v>
      </c>
      <c r="E13" s="32" t="s">
        <v>53</v>
      </c>
      <c r="F13" s="33" t="s">
        <v>54</v>
      </c>
      <c r="G13" s="32" t="s">
        <v>25</v>
      </c>
      <c r="H13" s="34" t="s">
        <v>55</v>
      </c>
    </row>
    <row r="14" spans="1:8" ht="24.45" customHeight="1">
      <c r="A14" s="30">
        <v>8</v>
      </c>
      <c r="B14" s="31" t="s">
        <v>50</v>
      </c>
      <c r="C14" s="32" t="s">
        <v>56</v>
      </c>
      <c r="D14" s="32" t="s">
        <v>57</v>
      </c>
      <c r="E14" s="32" t="s">
        <v>58</v>
      </c>
      <c r="F14" s="33" t="s">
        <v>24</v>
      </c>
      <c r="G14" s="32" t="s">
        <v>34</v>
      </c>
      <c r="H14" s="34" t="s">
        <v>59</v>
      </c>
    </row>
    <row r="15" spans="1:8" ht="24.45" customHeight="1">
      <c r="A15" s="30">
        <v>9</v>
      </c>
      <c r="B15" s="31" t="s">
        <v>50</v>
      </c>
      <c r="C15" s="32" t="s">
        <v>60</v>
      </c>
      <c r="D15" s="32" t="s">
        <v>61</v>
      </c>
      <c r="E15" s="32" t="s">
        <v>62</v>
      </c>
      <c r="F15" s="33" t="s">
        <v>39</v>
      </c>
      <c r="G15" s="32" t="s">
        <v>34</v>
      </c>
      <c r="H15" s="34" t="s">
        <v>63</v>
      </c>
    </row>
    <row r="16" spans="1:8" ht="24.45" customHeight="1">
      <c r="A16" s="30">
        <v>10</v>
      </c>
      <c r="B16" s="31" t="s">
        <v>64</v>
      </c>
      <c r="C16" s="32" t="s">
        <v>65</v>
      </c>
      <c r="D16" s="32" t="s">
        <v>66</v>
      </c>
      <c r="E16" s="32" t="s">
        <v>67</v>
      </c>
      <c r="F16" s="33" t="s">
        <v>24</v>
      </c>
      <c r="G16" s="32" t="s">
        <v>25</v>
      </c>
      <c r="H16" s="34" t="s">
        <v>68</v>
      </c>
    </row>
    <row r="17" spans="1:8" ht="24.45" customHeight="1">
      <c r="A17" s="30">
        <v>11</v>
      </c>
      <c r="B17" s="31" t="s">
        <v>64</v>
      </c>
      <c r="C17" s="32" t="s">
        <v>69</v>
      </c>
      <c r="D17" s="32" t="s">
        <v>70</v>
      </c>
      <c r="E17" s="32" t="s">
        <v>71</v>
      </c>
      <c r="F17" s="33" t="s">
        <v>24</v>
      </c>
      <c r="G17" s="32" t="s">
        <v>25</v>
      </c>
      <c r="H17" s="34" t="s">
        <v>72</v>
      </c>
    </row>
    <row r="18" spans="1:8" ht="24.45" customHeight="1">
      <c r="A18" s="30">
        <v>12</v>
      </c>
      <c r="B18" s="31" t="s">
        <v>64</v>
      </c>
      <c r="C18" s="32" t="s">
        <v>73</v>
      </c>
      <c r="D18" s="32" t="s">
        <v>74</v>
      </c>
      <c r="E18" s="32" t="s">
        <v>75</v>
      </c>
      <c r="F18" s="33" t="s">
        <v>54</v>
      </c>
      <c r="G18" s="32" t="s">
        <v>34</v>
      </c>
      <c r="H18" s="34" t="s">
        <v>76</v>
      </c>
    </row>
    <row r="19" spans="1:8" ht="24.45" customHeight="1">
      <c r="A19" s="30">
        <v>13</v>
      </c>
      <c r="B19" s="31" t="s">
        <v>64</v>
      </c>
      <c r="C19" s="32" t="s">
        <v>77</v>
      </c>
      <c r="D19" s="32" t="s">
        <v>78</v>
      </c>
      <c r="E19" s="32" t="s">
        <v>79</v>
      </c>
      <c r="F19" s="33" t="s">
        <v>39</v>
      </c>
      <c r="G19" s="32" t="s">
        <v>25</v>
      </c>
      <c r="H19" s="34" t="s">
        <v>80</v>
      </c>
    </row>
    <row r="20" spans="1:8" ht="15" customHeight="1">
      <c r="A20" s="30">
        <v>14</v>
      </c>
      <c r="B20" s="31" t="s">
        <v>81</v>
      </c>
      <c r="C20" s="32" t="s">
        <v>82</v>
      </c>
      <c r="D20" s="32" t="s">
        <v>83</v>
      </c>
      <c r="E20" s="32" t="s">
        <v>84</v>
      </c>
      <c r="F20" s="33" t="s">
        <v>54</v>
      </c>
      <c r="G20" s="32" t="s">
        <v>25</v>
      </c>
      <c r="H20" s="34" t="s">
        <v>85</v>
      </c>
    </row>
    <row r="21" spans="1:8" ht="24.45" customHeight="1">
      <c r="A21" s="30">
        <v>15</v>
      </c>
      <c r="B21" s="31" t="s">
        <v>81</v>
      </c>
      <c r="C21" s="32" t="s">
        <v>86</v>
      </c>
      <c r="D21" s="32" t="s">
        <v>87</v>
      </c>
      <c r="E21" s="32" t="s">
        <v>88</v>
      </c>
      <c r="F21" s="33" t="s">
        <v>54</v>
      </c>
      <c r="G21" s="32" t="s">
        <v>25</v>
      </c>
      <c r="H21" s="34" t="s">
        <v>89</v>
      </c>
    </row>
    <row r="22" spans="1:8" ht="36.6" customHeight="1">
      <c r="A22" s="30">
        <v>16</v>
      </c>
      <c r="B22" s="31" t="s">
        <v>81</v>
      </c>
      <c r="C22" s="32" t="s">
        <v>90</v>
      </c>
      <c r="D22" s="32" t="s">
        <v>91</v>
      </c>
      <c r="E22" s="32" t="s">
        <v>92</v>
      </c>
      <c r="F22" s="33" t="s">
        <v>54</v>
      </c>
      <c r="G22" s="52" t="s">
        <v>93</v>
      </c>
      <c r="H22" s="34" t="s">
        <v>414</v>
      </c>
    </row>
    <row r="23" spans="1:8" ht="24.45" customHeight="1">
      <c r="A23" s="30">
        <v>17</v>
      </c>
      <c r="B23" s="31" t="s">
        <v>81</v>
      </c>
      <c r="C23" s="32" t="s">
        <v>94</v>
      </c>
      <c r="D23" s="32" t="s">
        <v>95</v>
      </c>
      <c r="E23" s="32" t="s">
        <v>96</v>
      </c>
      <c r="F23" s="33" t="s">
        <v>24</v>
      </c>
      <c r="G23" s="52" t="s">
        <v>93</v>
      </c>
      <c r="H23" s="34" t="s">
        <v>97</v>
      </c>
    </row>
    <row r="24" spans="1:8" ht="24.45" customHeight="1">
      <c r="A24" s="30">
        <v>18</v>
      </c>
      <c r="B24" s="31" t="s">
        <v>81</v>
      </c>
      <c r="C24" s="32" t="s">
        <v>98</v>
      </c>
      <c r="D24" s="32" t="s">
        <v>99</v>
      </c>
      <c r="E24" s="32" t="s">
        <v>100</v>
      </c>
      <c r="F24" s="33" t="s">
        <v>24</v>
      </c>
      <c r="G24" s="52" t="s">
        <v>93</v>
      </c>
      <c r="H24" s="34" t="s">
        <v>101</v>
      </c>
    </row>
    <row r="25" spans="1:8" ht="24.45" customHeight="1">
      <c r="A25" s="30">
        <v>19</v>
      </c>
      <c r="B25" s="31" t="s">
        <v>81</v>
      </c>
      <c r="C25" s="32" t="s">
        <v>102</v>
      </c>
      <c r="D25" s="32" t="s">
        <v>103</v>
      </c>
      <c r="E25" s="32" t="s">
        <v>104</v>
      </c>
      <c r="F25" s="33" t="s">
        <v>24</v>
      </c>
      <c r="G25" s="32" t="s">
        <v>25</v>
      </c>
      <c r="H25" s="34" t="s">
        <v>105</v>
      </c>
    </row>
    <row r="26" spans="1:8" ht="36.6" customHeight="1">
      <c r="A26" s="30">
        <v>20</v>
      </c>
      <c r="B26" s="31" t="s">
        <v>106</v>
      </c>
      <c r="C26" s="32" t="s">
        <v>107</v>
      </c>
      <c r="D26" s="32" t="s">
        <v>108</v>
      </c>
      <c r="E26" s="32" t="s">
        <v>109</v>
      </c>
      <c r="F26" s="33" t="s">
        <v>54</v>
      </c>
      <c r="G26" s="32" t="s">
        <v>25</v>
      </c>
      <c r="H26" s="34" t="s">
        <v>110</v>
      </c>
    </row>
    <row r="27" spans="1:8" ht="24.45" customHeight="1">
      <c r="A27" s="30">
        <v>21</v>
      </c>
      <c r="B27" s="31" t="s">
        <v>106</v>
      </c>
      <c r="C27" s="32" t="s">
        <v>111</v>
      </c>
      <c r="D27" s="32" t="s">
        <v>112</v>
      </c>
      <c r="E27" s="32" t="s">
        <v>113</v>
      </c>
      <c r="F27" s="33" t="s">
        <v>24</v>
      </c>
      <c r="G27" s="32" t="s">
        <v>25</v>
      </c>
      <c r="H27" s="34" t="s">
        <v>114</v>
      </c>
    </row>
    <row r="28" spans="1:8" ht="15" customHeight="1">
      <c r="A28" s="30">
        <v>22</v>
      </c>
      <c r="B28" s="31" t="s">
        <v>115</v>
      </c>
      <c r="C28" s="32" t="s">
        <v>116</v>
      </c>
      <c r="D28" s="32" t="s">
        <v>117</v>
      </c>
      <c r="E28" s="32" t="s">
        <v>118</v>
      </c>
      <c r="F28" s="33" t="s">
        <v>39</v>
      </c>
      <c r="G28" s="32" t="s">
        <v>25</v>
      </c>
      <c r="H28" s="34" t="s">
        <v>119</v>
      </c>
    </row>
    <row r="29" spans="1:8" ht="24.45" customHeight="1">
      <c r="A29" s="30">
        <v>23</v>
      </c>
      <c r="B29" s="31" t="s">
        <v>115</v>
      </c>
      <c r="C29" s="32" t="s">
        <v>120</v>
      </c>
      <c r="D29" s="32" t="s">
        <v>121</v>
      </c>
      <c r="E29" s="32" t="s">
        <v>122</v>
      </c>
      <c r="F29" s="33" t="s">
        <v>39</v>
      </c>
      <c r="G29" s="32" t="s">
        <v>25</v>
      </c>
      <c r="H29" s="34" t="s">
        <v>123</v>
      </c>
    </row>
    <row r="30" spans="1:8" ht="24.45" customHeight="1">
      <c r="A30" s="30">
        <v>24</v>
      </c>
      <c r="B30" s="31" t="s">
        <v>115</v>
      </c>
      <c r="C30" s="32" t="s">
        <v>124</v>
      </c>
      <c r="D30" s="32" t="s">
        <v>125</v>
      </c>
      <c r="E30" s="32" t="s">
        <v>126</v>
      </c>
      <c r="F30" s="33" t="s">
        <v>127</v>
      </c>
      <c r="G30" s="32" t="s">
        <v>34</v>
      </c>
      <c r="H30" s="34" t="s">
        <v>128</v>
      </c>
    </row>
    <row r="31" spans="1:8" ht="24.45" customHeight="1">
      <c r="A31" s="30">
        <v>25</v>
      </c>
      <c r="B31" s="31" t="s">
        <v>129</v>
      </c>
      <c r="C31" s="32" t="s">
        <v>130</v>
      </c>
      <c r="D31" s="32" t="s">
        <v>131</v>
      </c>
      <c r="E31" s="32" t="s">
        <v>132</v>
      </c>
      <c r="F31" s="33" t="s">
        <v>39</v>
      </c>
      <c r="G31" s="32" t="s">
        <v>25</v>
      </c>
      <c r="H31" s="34" t="s">
        <v>133</v>
      </c>
    </row>
    <row r="32" spans="1:8" ht="24.45" customHeight="1">
      <c r="A32" s="30">
        <v>26</v>
      </c>
      <c r="B32" s="31" t="s">
        <v>134</v>
      </c>
      <c r="C32" s="32" t="s">
        <v>135</v>
      </c>
      <c r="D32" s="32" t="s">
        <v>136</v>
      </c>
      <c r="E32" s="32" t="s">
        <v>137</v>
      </c>
      <c r="F32" s="33" t="s">
        <v>24</v>
      </c>
      <c r="G32" s="32" t="s">
        <v>34</v>
      </c>
      <c r="H32" s="34" t="s">
        <v>138</v>
      </c>
    </row>
    <row r="33" spans="1:8" ht="15" customHeight="1">
      <c r="A33" s="30">
        <v>27</v>
      </c>
      <c r="B33" s="31" t="s">
        <v>134</v>
      </c>
      <c r="C33" s="32" t="s">
        <v>139</v>
      </c>
      <c r="D33" s="32" t="s">
        <v>140</v>
      </c>
      <c r="E33" s="32" t="s">
        <v>141</v>
      </c>
      <c r="F33" s="33" t="s">
        <v>39</v>
      </c>
      <c r="G33" s="32" t="s">
        <v>25</v>
      </c>
      <c r="H33" s="34" t="s">
        <v>142</v>
      </c>
    </row>
    <row r="34" spans="1:8" ht="24.45" customHeight="1">
      <c r="A34" s="30">
        <v>28</v>
      </c>
      <c r="B34" s="31" t="s">
        <v>143</v>
      </c>
      <c r="C34" s="32" t="s">
        <v>144</v>
      </c>
      <c r="D34" s="32" t="s">
        <v>145</v>
      </c>
      <c r="E34" s="32" t="s">
        <v>146</v>
      </c>
      <c r="F34" s="33" t="s">
        <v>24</v>
      </c>
      <c r="G34" s="32" t="s">
        <v>34</v>
      </c>
      <c r="H34" s="34" t="s">
        <v>147</v>
      </c>
    </row>
    <row r="35" spans="1:8" ht="24.45" customHeight="1">
      <c r="A35" s="30">
        <v>29</v>
      </c>
      <c r="B35" s="31" t="s">
        <v>143</v>
      </c>
      <c r="C35" s="32" t="s">
        <v>148</v>
      </c>
      <c r="D35" s="54" t="s">
        <v>412</v>
      </c>
      <c r="E35" s="32" t="s">
        <v>149</v>
      </c>
      <c r="F35" s="33" t="s">
        <v>54</v>
      </c>
      <c r="G35" s="52" t="s">
        <v>93</v>
      </c>
      <c r="H35" s="53" t="s">
        <v>413</v>
      </c>
    </row>
    <row r="36" spans="1:8" ht="24.45" customHeight="1">
      <c r="A36" s="35">
        <v>30</v>
      </c>
      <c r="B36" s="36" t="s">
        <v>143</v>
      </c>
      <c r="C36" s="37" t="s">
        <v>150</v>
      </c>
      <c r="D36" s="37" t="s">
        <v>151</v>
      </c>
      <c r="E36" s="37" t="s">
        <v>152</v>
      </c>
      <c r="F36" s="38" t="s">
        <v>54</v>
      </c>
      <c r="G36" s="37" t="s">
        <v>25</v>
      </c>
      <c r="H36" s="39" t="s">
        <v>153</v>
      </c>
    </row>
  </sheetData>
  <mergeCells count="1">
    <mergeCell ref="A1:H1"/>
  </mergeCells>
  <phoneticPr fontId="4"/>
  <conditionalFormatting sqref="F7:F36">
    <cfRule type="containsText" dxfId="6" priority="4" operator="containsText" text="最重要"/>
    <cfRule type="containsText" dxfId="5" priority="5" operator="containsText" text="高"/>
    <cfRule type="containsText" dxfId="4" priority="6" operator="containsText" text="中"/>
    <cfRule type="containsText" dxfId="3" priority="7" operator="containsText" text="低"/>
  </conditionalFormatting>
  <conditionalFormatting sqref="G7:G36">
    <cfRule type="containsText" dxfId="2" priority="1" operator="containsText" text="OK"/>
    <cfRule type="containsText" dxfId="1" priority="2" operator="containsText" text="NG"/>
    <cfRule type="containsText" dxfId="0" priority="3" operator="containsText" text="NA"/>
  </conditionalFormatting>
  <dataValidations count="1">
    <dataValidation type="list" allowBlank="1" sqref="G7:G36" xr:uid="{00000000-0002-0000-0200-000000000000}">
      <formula1>"OK,NG,NA"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workbookViewId="0"/>
  </sheetViews>
  <sheetFormatPr defaultRowHeight="13.8"/>
  <cols>
    <col min="1" max="1" width="24" customWidth="1"/>
    <col min="2" max="2" width="82" customWidth="1"/>
  </cols>
  <sheetData>
    <row r="1" spans="1:2" ht="15" customHeight="1">
      <c r="A1" s="50" t="s">
        <v>318</v>
      </c>
      <c r="B1" s="51"/>
    </row>
    <row r="2" spans="1:2" ht="15" customHeight="1">
      <c r="A2" s="1"/>
      <c r="B2" s="1"/>
    </row>
    <row r="3" spans="1:2" ht="15" customHeight="1">
      <c r="A3" s="2" t="s">
        <v>155</v>
      </c>
      <c r="B3" s="3" t="s">
        <v>156</v>
      </c>
    </row>
    <row r="4" spans="1:2" ht="15" customHeight="1">
      <c r="A4" s="40" t="s">
        <v>319</v>
      </c>
      <c r="B4" s="5" t="s">
        <v>320</v>
      </c>
    </row>
    <row r="5" spans="1:2" ht="15" customHeight="1">
      <c r="A5" s="41" t="s">
        <v>321</v>
      </c>
      <c r="B5" s="7" t="s">
        <v>322</v>
      </c>
    </row>
    <row r="6" spans="1:2" ht="15" customHeight="1">
      <c r="A6" s="41" t="s">
        <v>323</v>
      </c>
      <c r="B6" s="7" t="s">
        <v>324</v>
      </c>
    </row>
    <row r="7" spans="1:2" ht="15" customHeight="1">
      <c r="A7" s="41" t="s">
        <v>325</v>
      </c>
      <c r="B7" s="7" t="s">
        <v>326</v>
      </c>
    </row>
    <row r="8" spans="1:2" ht="15" customHeight="1">
      <c r="A8" s="41" t="s">
        <v>327</v>
      </c>
      <c r="B8" s="7" t="s">
        <v>328</v>
      </c>
    </row>
    <row r="9" spans="1:2" ht="15" customHeight="1">
      <c r="A9" s="41" t="s">
        <v>329</v>
      </c>
      <c r="B9" s="7" t="s">
        <v>330</v>
      </c>
    </row>
    <row r="10" spans="1:2" ht="15" customHeight="1">
      <c r="A10" s="41" t="s">
        <v>331</v>
      </c>
      <c r="B10" s="7" t="s">
        <v>332</v>
      </c>
    </row>
    <row r="11" spans="1:2" ht="15" customHeight="1">
      <c r="A11" s="41" t="s">
        <v>333</v>
      </c>
      <c r="B11" s="7" t="s">
        <v>334</v>
      </c>
    </row>
    <row r="12" spans="1:2" ht="15" customHeight="1">
      <c r="A12" s="41" t="s">
        <v>335</v>
      </c>
      <c r="B12" s="7" t="s">
        <v>336</v>
      </c>
    </row>
    <row r="13" spans="1:2" ht="15" customHeight="1">
      <c r="A13" s="41" t="s">
        <v>337</v>
      </c>
      <c r="B13" s="7" t="s">
        <v>338</v>
      </c>
    </row>
    <row r="14" spans="1:2" ht="15" customHeight="1">
      <c r="A14" s="41" t="s">
        <v>339</v>
      </c>
      <c r="B14" s="7" t="s">
        <v>340</v>
      </c>
    </row>
    <row r="15" spans="1:2" ht="15" customHeight="1">
      <c r="A15" s="41" t="s">
        <v>341</v>
      </c>
      <c r="B15" s="7" t="s">
        <v>342</v>
      </c>
    </row>
    <row r="16" spans="1:2" ht="15" customHeight="1">
      <c r="A16" s="41" t="s">
        <v>343</v>
      </c>
      <c r="B16" s="7" t="s">
        <v>344</v>
      </c>
    </row>
    <row r="17" spans="1:2" ht="15" customHeight="1">
      <c r="A17" s="42" t="s">
        <v>345</v>
      </c>
      <c r="B17" s="9" t="s">
        <v>346</v>
      </c>
    </row>
  </sheetData>
  <mergeCells count="1">
    <mergeCell ref="A1:B1"/>
  </mergeCells>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pane ySplit="4" topLeftCell="A5" activePane="bottomLeft" state="frozen"/>
      <selection pane="bottomLeft"/>
    </sheetView>
  </sheetViews>
  <sheetFormatPr defaultRowHeight="13.8"/>
  <cols>
    <col min="1" max="1" width="6" customWidth="1"/>
    <col min="2" max="2" width="14" customWidth="1"/>
    <col min="3" max="3" width="30" customWidth="1"/>
    <col min="4" max="4" width="12" customWidth="1"/>
    <col min="5" max="5" width="88" customWidth="1"/>
    <col min="6" max="7" width="10" customWidth="1"/>
  </cols>
  <sheetData>
    <row r="1" spans="1:7" ht="17.399999999999999">
      <c r="A1" s="43" t="s">
        <v>347</v>
      </c>
      <c r="F1" t="s">
        <v>5</v>
      </c>
      <c r="G1">
        <f>COUNTIF(D5:D21,"OK")</f>
        <v>12</v>
      </c>
    </row>
    <row r="2" spans="1:7" ht="409.6">
      <c r="A2" s="44" t="s">
        <v>348</v>
      </c>
      <c r="F2" t="s">
        <v>8</v>
      </c>
      <c r="G2">
        <f>COUNTIF(D5:D21,"NG")</f>
        <v>2</v>
      </c>
    </row>
    <row r="3" spans="1:7">
      <c r="F3" t="s">
        <v>349</v>
      </c>
      <c r="G3">
        <f>COUNTIF(D5:D21,"保留")</f>
        <v>3</v>
      </c>
    </row>
    <row r="4" spans="1:7">
      <c r="A4" s="45" t="s">
        <v>12</v>
      </c>
      <c r="B4" s="45" t="s">
        <v>350</v>
      </c>
      <c r="C4" s="45" t="s">
        <v>351</v>
      </c>
      <c r="D4" s="45" t="s">
        <v>352</v>
      </c>
      <c r="E4" s="45" t="s">
        <v>353</v>
      </c>
    </row>
    <row r="5" spans="1:7">
      <c r="A5">
        <v>1</v>
      </c>
      <c r="B5" t="s">
        <v>192</v>
      </c>
      <c r="C5" t="s">
        <v>193</v>
      </c>
      <c r="D5" s="46" t="s">
        <v>25</v>
      </c>
      <c r="E5" s="47" t="s">
        <v>196</v>
      </c>
    </row>
    <row r="6" spans="1:7">
      <c r="A6">
        <v>2</v>
      </c>
      <c r="B6" t="s">
        <v>192</v>
      </c>
      <c r="C6" t="s">
        <v>197</v>
      </c>
      <c r="D6" s="46" t="s">
        <v>25</v>
      </c>
      <c r="E6" s="47" t="s">
        <v>200</v>
      </c>
    </row>
    <row r="7" spans="1:7">
      <c r="A7">
        <v>3</v>
      </c>
      <c r="B7" t="s">
        <v>354</v>
      </c>
      <c r="C7" t="s">
        <v>206</v>
      </c>
      <c r="D7" s="46" t="s">
        <v>25</v>
      </c>
      <c r="E7" s="47" t="s">
        <v>355</v>
      </c>
    </row>
    <row r="8" spans="1:7">
      <c r="A8">
        <v>4</v>
      </c>
      <c r="B8" t="s">
        <v>354</v>
      </c>
      <c r="C8" t="s">
        <v>210</v>
      </c>
      <c r="D8" s="46" t="s">
        <v>25</v>
      </c>
      <c r="E8" s="47" t="s">
        <v>356</v>
      </c>
    </row>
    <row r="9" spans="1:7">
      <c r="A9">
        <v>5</v>
      </c>
      <c r="B9" t="s">
        <v>354</v>
      </c>
      <c r="C9" t="s">
        <v>214</v>
      </c>
      <c r="D9" s="46" t="s">
        <v>25</v>
      </c>
      <c r="E9" s="47" t="s">
        <v>217</v>
      </c>
    </row>
    <row r="10" spans="1:7">
      <c r="A10">
        <v>6</v>
      </c>
      <c r="B10" t="s">
        <v>354</v>
      </c>
      <c r="C10" t="s">
        <v>218</v>
      </c>
      <c r="D10" s="46" t="s">
        <v>25</v>
      </c>
      <c r="E10" s="47" t="s">
        <v>357</v>
      </c>
    </row>
    <row r="11" spans="1:7">
      <c r="A11">
        <v>7</v>
      </c>
      <c r="B11" t="s">
        <v>358</v>
      </c>
      <c r="C11" t="s">
        <v>227</v>
      </c>
      <c r="D11" s="46" t="s">
        <v>25</v>
      </c>
      <c r="E11" s="47" t="s">
        <v>359</v>
      </c>
    </row>
    <row r="12" spans="1:7">
      <c r="A12">
        <v>8</v>
      </c>
      <c r="B12" t="s">
        <v>360</v>
      </c>
      <c r="C12" t="s">
        <v>236</v>
      </c>
      <c r="D12" s="46" t="s">
        <v>25</v>
      </c>
      <c r="E12" s="47" t="s">
        <v>361</v>
      </c>
    </row>
    <row r="13" spans="1:7">
      <c r="A13">
        <v>9</v>
      </c>
      <c r="B13" t="s">
        <v>360</v>
      </c>
      <c r="C13" t="s">
        <v>240</v>
      </c>
      <c r="D13" s="46" t="s">
        <v>25</v>
      </c>
      <c r="E13" s="47" t="s">
        <v>362</v>
      </c>
    </row>
    <row r="14" spans="1:7">
      <c r="A14">
        <v>10</v>
      </c>
      <c r="B14" t="s">
        <v>360</v>
      </c>
      <c r="C14" t="s">
        <v>244</v>
      </c>
      <c r="D14" s="46" t="s">
        <v>25</v>
      </c>
      <c r="E14" s="47" t="s">
        <v>363</v>
      </c>
    </row>
    <row r="15" spans="1:7">
      <c r="A15">
        <v>11</v>
      </c>
      <c r="B15" t="s">
        <v>293</v>
      </c>
      <c r="C15" t="s">
        <v>364</v>
      </c>
      <c r="D15" s="46" t="s">
        <v>25</v>
      </c>
      <c r="E15" s="47" t="s">
        <v>365</v>
      </c>
    </row>
    <row r="16" spans="1:7">
      <c r="A16">
        <v>12</v>
      </c>
      <c r="B16" t="s">
        <v>293</v>
      </c>
      <c r="C16" t="s">
        <v>294</v>
      </c>
      <c r="D16" s="46" t="s">
        <v>25</v>
      </c>
      <c r="E16" s="47" t="s">
        <v>366</v>
      </c>
    </row>
    <row r="17" spans="1:5" ht="27.6">
      <c r="A17">
        <v>13</v>
      </c>
      <c r="B17" t="s">
        <v>367</v>
      </c>
      <c r="C17" t="s">
        <v>368</v>
      </c>
      <c r="D17" s="48" t="s">
        <v>34</v>
      </c>
      <c r="E17" s="47" t="s">
        <v>369</v>
      </c>
    </row>
    <row r="18" spans="1:5">
      <c r="A18">
        <v>14</v>
      </c>
      <c r="B18" t="s">
        <v>367</v>
      </c>
      <c r="C18" t="s">
        <v>370</v>
      </c>
      <c r="D18" s="48" t="s">
        <v>93</v>
      </c>
      <c r="E18" s="47" t="s">
        <v>371</v>
      </c>
    </row>
    <row r="19" spans="1:5" ht="27.6">
      <c r="A19">
        <v>15</v>
      </c>
      <c r="B19" t="s">
        <v>367</v>
      </c>
      <c r="C19" t="s">
        <v>372</v>
      </c>
      <c r="D19" s="49" t="s">
        <v>34</v>
      </c>
      <c r="E19" s="47" t="s">
        <v>373</v>
      </c>
    </row>
    <row r="20" spans="1:5">
      <c r="A20">
        <v>16</v>
      </c>
      <c r="B20" t="s">
        <v>367</v>
      </c>
      <c r="C20" t="s">
        <v>374</v>
      </c>
      <c r="D20" s="49" t="s">
        <v>34</v>
      </c>
      <c r="E20" s="47" t="s">
        <v>375</v>
      </c>
    </row>
    <row r="21" spans="1:5">
      <c r="A21">
        <v>17</v>
      </c>
      <c r="B21" t="s">
        <v>367</v>
      </c>
      <c r="C21" t="s">
        <v>376</v>
      </c>
      <c r="D21" s="48" t="s">
        <v>93</v>
      </c>
      <c r="E21" s="47" t="s">
        <v>309</v>
      </c>
    </row>
  </sheetData>
  <phoneticPr fontId="4"/>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
  <sheetViews>
    <sheetView workbookViewId="0">
      <pane ySplit="4" topLeftCell="A5" activePane="bottomLeft" state="frozen"/>
      <selection pane="bottomLeft"/>
    </sheetView>
  </sheetViews>
  <sheetFormatPr defaultRowHeight="13.8"/>
  <cols>
    <col min="1" max="1" width="6" customWidth="1"/>
    <col min="2" max="2" width="14" customWidth="1"/>
    <col min="3" max="3" width="30" customWidth="1"/>
    <col min="4" max="4" width="12" customWidth="1"/>
    <col min="5" max="5" width="88" customWidth="1"/>
    <col min="6" max="7" width="10" customWidth="1"/>
  </cols>
  <sheetData>
    <row r="1" spans="1:7" ht="17.399999999999999">
      <c r="A1" s="43" t="s">
        <v>377</v>
      </c>
      <c r="F1" t="s">
        <v>5</v>
      </c>
      <c r="G1">
        <f>COUNTIF(D5:D21,"OK")</f>
        <v>14</v>
      </c>
    </row>
    <row r="2" spans="1:7" ht="409.6">
      <c r="A2" s="44" t="s">
        <v>378</v>
      </c>
      <c r="F2" t="s">
        <v>8</v>
      </c>
      <c r="G2">
        <f>COUNTIF(D5:D21,"NG")</f>
        <v>2</v>
      </c>
    </row>
    <row r="3" spans="1:7">
      <c r="F3" t="s">
        <v>349</v>
      </c>
      <c r="G3">
        <f>COUNTIF(D5:D21,"保留")</f>
        <v>1</v>
      </c>
    </row>
    <row r="4" spans="1:7">
      <c r="A4" s="45" t="s">
        <v>12</v>
      </c>
      <c r="B4" s="45" t="s">
        <v>350</v>
      </c>
      <c r="C4" s="45" t="s">
        <v>351</v>
      </c>
      <c r="D4" s="45" t="s">
        <v>352</v>
      </c>
      <c r="E4" s="45" t="s">
        <v>353</v>
      </c>
    </row>
    <row r="5" spans="1:7">
      <c r="A5">
        <v>1</v>
      </c>
      <c r="B5" t="s">
        <v>20</v>
      </c>
      <c r="C5" t="s">
        <v>21</v>
      </c>
      <c r="D5" s="46" t="s">
        <v>25</v>
      </c>
      <c r="E5" s="47" t="s">
        <v>26</v>
      </c>
    </row>
    <row r="6" spans="1:7">
      <c r="A6">
        <v>2</v>
      </c>
      <c r="B6" t="s">
        <v>20</v>
      </c>
      <c r="C6" t="s">
        <v>27</v>
      </c>
      <c r="D6" s="46" t="s">
        <v>25</v>
      </c>
      <c r="E6" s="47" t="s">
        <v>30</v>
      </c>
    </row>
    <row r="7" spans="1:7">
      <c r="A7">
        <v>3</v>
      </c>
      <c r="B7" t="s">
        <v>20</v>
      </c>
      <c r="C7" t="s">
        <v>379</v>
      </c>
      <c r="D7" s="46" t="s">
        <v>25</v>
      </c>
      <c r="E7" s="47" t="s">
        <v>380</v>
      </c>
    </row>
    <row r="8" spans="1:7">
      <c r="A8">
        <v>4</v>
      </c>
      <c r="B8" t="s">
        <v>20</v>
      </c>
      <c r="C8" t="s">
        <v>381</v>
      </c>
      <c r="D8" s="49" t="s">
        <v>34</v>
      </c>
      <c r="E8" s="47" t="s">
        <v>382</v>
      </c>
    </row>
    <row r="9" spans="1:7">
      <c r="A9">
        <v>5</v>
      </c>
      <c r="B9" t="s">
        <v>50</v>
      </c>
      <c r="C9" t="s">
        <v>51</v>
      </c>
      <c r="D9" s="46" t="s">
        <v>25</v>
      </c>
      <c r="E9" s="47" t="s">
        <v>383</v>
      </c>
    </row>
    <row r="10" spans="1:7">
      <c r="A10">
        <v>6</v>
      </c>
      <c r="B10" t="s">
        <v>50</v>
      </c>
      <c r="C10" t="s">
        <v>384</v>
      </c>
      <c r="D10" s="46" t="s">
        <v>25</v>
      </c>
      <c r="E10" s="47" t="s">
        <v>385</v>
      </c>
    </row>
    <row r="11" spans="1:7">
      <c r="A11">
        <v>7</v>
      </c>
      <c r="B11" t="s">
        <v>386</v>
      </c>
      <c r="C11" t="s">
        <v>387</v>
      </c>
      <c r="D11" s="46" t="s">
        <v>25</v>
      </c>
      <c r="E11" s="47" t="s">
        <v>388</v>
      </c>
    </row>
    <row r="12" spans="1:7">
      <c r="A12">
        <v>8</v>
      </c>
      <c r="B12" t="s">
        <v>64</v>
      </c>
      <c r="C12" t="s">
        <v>389</v>
      </c>
      <c r="D12" s="46" t="s">
        <v>25</v>
      </c>
      <c r="E12" s="47" t="s">
        <v>390</v>
      </c>
    </row>
    <row r="13" spans="1:7">
      <c r="A13">
        <v>9</v>
      </c>
      <c r="B13" t="s">
        <v>64</v>
      </c>
      <c r="C13" t="s">
        <v>391</v>
      </c>
      <c r="D13" s="46" t="s">
        <v>25</v>
      </c>
      <c r="E13" s="47" t="s">
        <v>392</v>
      </c>
    </row>
    <row r="14" spans="1:7">
      <c r="A14">
        <v>10</v>
      </c>
      <c r="B14" t="s">
        <v>393</v>
      </c>
      <c r="C14" t="s">
        <v>82</v>
      </c>
      <c r="D14" s="46" t="s">
        <v>25</v>
      </c>
      <c r="E14" s="47" t="s">
        <v>394</v>
      </c>
    </row>
    <row r="15" spans="1:7">
      <c r="A15">
        <v>11</v>
      </c>
      <c r="B15" t="s">
        <v>393</v>
      </c>
      <c r="C15" t="s">
        <v>86</v>
      </c>
      <c r="D15" s="46" t="s">
        <v>25</v>
      </c>
      <c r="E15" s="47" t="s">
        <v>395</v>
      </c>
    </row>
    <row r="16" spans="1:7">
      <c r="A16">
        <v>12</v>
      </c>
      <c r="B16" t="s">
        <v>129</v>
      </c>
      <c r="C16" t="s">
        <v>396</v>
      </c>
      <c r="D16" s="46" t="s">
        <v>25</v>
      </c>
      <c r="E16" s="47" t="s">
        <v>397</v>
      </c>
    </row>
    <row r="17" spans="1:5">
      <c r="A17">
        <v>13</v>
      </c>
      <c r="B17" t="s">
        <v>398</v>
      </c>
      <c r="C17" t="s">
        <v>399</v>
      </c>
      <c r="D17" s="46" t="s">
        <v>25</v>
      </c>
      <c r="E17" s="47" t="s">
        <v>400</v>
      </c>
    </row>
    <row r="18" spans="1:5">
      <c r="A18">
        <v>14</v>
      </c>
      <c r="B18" t="s">
        <v>401</v>
      </c>
      <c r="C18" t="s">
        <v>402</v>
      </c>
      <c r="D18" s="48" t="s">
        <v>93</v>
      </c>
      <c r="E18" s="47" t="s">
        <v>403</v>
      </c>
    </row>
    <row r="19" spans="1:5">
      <c r="A19">
        <v>15</v>
      </c>
      <c r="B19" t="s">
        <v>401</v>
      </c>
      <c r="C19" t="s">
        <v>404</v>
      </c>
      <c r="D19" s="48" t="s">
        <v>93</v>
      </c>
      <c r="E19" s="47" t="s">
        <v>405</v>
      </c>
    </row>
    <row r="20" spans="1:5">
      <c r="A20">
        <v>16</v>
      </c>
      <c r="B20" t="s">
        <v>106</v>
      </c>
      <c r="C20" t="s">
        <v>406</v>
      </c>
      <c r="D20" s="48" t="s">
        <v>25</v>
      </c>
      <c r="E20" s="47" t="s">
        <v>407</v>
      </c>
    </row>
    <row r="21" spans="1:5" ht="27.6">
      <c r="A21">
        <v>17</v>
      </c>
      <c r="B21" t="s">
        <v>106</v>
      </c>
      <c r="C21" t="s">
        <v>408</v>
      </c>
      <c r="D21" s="48" t="s">
        <v>25</v>
      </c>
      <c r="E21" s="47" t="s">
        <v>409</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確認対象</vt:lpstr>
      <vt:lpstr>フロントチェック</vt:lpstr>
      <vt:lpstr>バックチェック</vt:lpstr>
      <vt:lpstr>使い方</vt:lpstr>
      <vt:lpstr>公開物評価</vt:lpstr>
      <vt:lpstr>実装評価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平松 克史</cp:lastModifiedBy>
  <dcterms:created xsi:type="dcterms:W3CDTF">2026-04-23T03:17:54Z</dcterms:created>
  <dcterms:modified xsi:type="dcterms:W3CDTF">2026-04-23T07:29:47Z</dcterms:modified>
</cp:coreProperties>
</file>